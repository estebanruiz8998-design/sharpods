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ets" sheetId="1" state="visible" r:id="rId1"/>
    <sheet name="FairLines" sheetId="2" state="visible" r:id="rId2"/>
    <sheet name="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"/>
    <numFmt numFmtId="166" formatCode="$#,##0;($#,##0);-"/>
    <numFmt numFmtId="167" formatCode="0.0%"/>
    <numFmt numFmtId="168" formatCode="0.000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color rgb="FF0000FF"/>
      <sz val="10"/>
    </font>
    <font>
      <name val="Arial"/>
      <i val="1"/>
      <sz val="9"/>
    </font>
    <font>
      <name val="Arial"/>
      <sz val="10"/>
    </font>
    <font>
      <name val="Arial"/>
      <b val="1"/>
      <sz val="14"/>
    </font>
    <font>
      <name val="Arial"/>
      <b val="1"/>
      <color rgb="FF000000"/>
      <sz val="10"/>
    </font>
    <font>
      <name val="Arial"/>
      <b val="1"/>
      <sz val="11"/>
    </font>
    <font>
      <name val="Arial"/>
      <sz val="9"/>
    </font>
    <font>
      <name val="Arial"/>
      <i val="1"/>
      <sz val="8"/>
    </font>
  </fonts>
  <fills count="3">
    <fill>
      <patternFill/>
    </fill>
    <fill>
      <patternFill patternType="gray125"/>
    </fill>
    <fill>
      <patternFill patternType="solid">
        <f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0" fontId="3" fillId="2" borderId="0" pivotButton="0" quotePrefix="0" xfId="0"/>
    <xf numFmtId="168" fontId="2" fillId="0" borderId="0" pivotButton="0" quotePrefix="0" xfId="0"/>
    <xf numFmtId="2" fontId="4" fillId="0" borderId="0" pivotButton="0" quotePrefix="0" xfId="0"/>
    <xf numFmtId="168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65" fontId="6" fillId="0" borderId="0" pivotButton="0" quotePrefix="0" xfId="0"/>
    <xf numFmtId="166" fontId="6" fillId="0" borderId="0" pivotButton="0" quotePrefix="0" xfId="0"/>
    <xf numFmtId="2" fontId="6" fillId="0" borderId="0" pivotButton="0" quotePrefix="0" xfId="0"/>
    <xf numFmtId="168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SharpOds</author>
  </authors>
  <commentList>
    <comment ref="B5" authorId="0" shapeId="0">
      <text>
        <t>Win rate and P&amp;L are outcome metrics; mean no-vig CLV is the process metric the model answers to (Squares &amp; Sharps; Sharper). Small n: treat every number as provisional until the ledger's significance tests clear (see sharpods/clv.py).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26" customWidth="1" min="3" max="3"/>
    <col width="13" customWidth="1" min="4" max="4"/>
    <col width="7" customWidth="1" min="5" max="5"/>
    <col width="7" customWidth="1" min="6" max="6"/>
    <col width="10" customWidth="1" min="7" max="7"/>
    <col width="10" customWidth="1" min="8" max="8"/>
    <col width="10" customWidth="1" min="9" max="9"/>
    <col width="9" customWidth="1" min="10" max="10"/>
    <col width="10" customWidth="1" min="11" max="11"/>
    <col width="12" customWidth="1" min="12" max="12"/>
    <col width="9" customWidth="1" min="13" max="13"/>
    <col width="60" customWidth="1" min="14" max="14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Selection</t>
        </is>
      </c>
      <c r="D1" s="1" t="inlineStr">
        <is>
          <t>Type</t>
        </is>
      </c>
      <c r="E1" s="1" t="inlineStr">
        <is>
          <t>Target</t>
        </is>
      </c>
      <c r="F1" s="1" t="inlineStr">
        <is>
          <t>Fill</t>
        </is>
      </c>
      <c r="G1" s="1" t="inlineStr">
        <is>
          <t>Stake $</t>
        </is>
      </c>
      <c r="H1" s="1" t="inlineStr">
        <is>
          <t>Result</t>
        </is>
      </c>
      <c r="I1" s="1" t="inlineStr">
        <is>
          <t>P&amp;L $</t>
        </is>
      </c>
      <c r="J1" s="1" t="inlineStr">
        <is>
          <t>CLV raw</t>
        </is>
      </c>
      <c r="K1" s="1" t="inlineStr">
        <is>
          <t>CLV no-vig</t>
        </is>
      </c>
      <c r="L1" s="1" t="inlineStr">
        <is>
          <t>Anchor</t>
        </is>
      </c>
      <c r="M1" s="1" t="inlineStr">
        <is>
          <t>Process</t>
        </is>
      </c>
      <c r="N1" s="1" t="inlineStr">
        <is>
          <t>Notes</t>
        </is>
      </c>
    </row>
    <row r="2">
      <c r="A2" s="2" t="inlineStr">
        <is>
          <t>2026-07-29</t>
        </is>
      </c>
      <c r="B2" s="2" t="inlineStr">
        <is>
          <t>Full 5-game slate</t>
        </is>
      </c>
      <c r="C2" s="2" t="inlineStr">
        <is>
          <t>No bet - all 10 sides -EV</t>
        </is>
      </c>
      <c r="D2" s="2" t="inlineStr">
        <is>
          <t>pass</t>
        </is>
      </c>
      <c r="E2" s="3" t="n"/>
      <c r="F2" s="3" t="n"/>
      <c r="G2" s="4" t="n">
        <v>0</v>
      </c>
      <c r="H2" s="2" t="inlineStr">
        <is>
          <t>validated</t>
        </is>
      </c>
      <c r="I2" s="5" t="n">
        <v>0</v>
      </c>
      <c r="J2" s="6" t="n"/>
      <c r="K2" s="6" t="n"/>
      <c r="L2" s="2" t="inlineStr">
        <is>
          <t>clean</t>
        </is>
      </c>
      <c r="M2" s="2" t="inlineStr">
        <is>
          <t>worked</t>
        </is>
      </c>
      <c r="N2" s="2" t="inlineStr">
        <is>
          <t>Favorites went 2-3; both most-likely sides blew 6+ run leads; every listed price was -EV vs fair (avg -3.3%). Passing saved money.</t>
        </is>
      </c>
    </row>
    <row r="3">
      <c r="A3" s="2" t="inlineStr">
        <is>
          <t>2026-07-29</t>
        </is>
      </c>
      <c r="B3" s="2" t="inlineStr">
        <is>
          <t>BAL @ DET</t>
        </is>
      </c>
      <c r="C3" s="2" t="inlineStr">
        <is>
          <t>Tigers ML</t>
        </is>
      </c>
      <c r="D3" s="2" t="inlineStr">
        <is>
          <t>order_unfilled</t>
        </is>
      </c>
      <c r="E3" s="3" t="n">
        <v>1.633</v>
      </c>
      <c r="F3" s="3" t="n"/>
      <c r="G3" s="4" t="n">
        <v>0</v>
      </c>
      <c r="H3" s="2" t="inlineStr">
        <is>
          <t>no fill</t>
        </is>
      </c>
      <c r="I3" s="5" t="n">
        <v>0</v>
      </c>
      <c r="J3" s="6" t="n"/>
      <c r="K3" s="6" t="n"/>
      <c r="L3" s="2" t="inlineStr">
        <is>
          <t>clean</t>
        </is>
      </c>
      <c r="M3" s="2" t="inlineStr">
        <is>
          <t>worked</t>
        </is>
      </c>
      <c r="N3" s="2" t="inlineStr">
        <is>
          <t>Line closed 1.56-1.59, moving away; discipline held. Tigers lost 9-10 in 12 - a chased fill would have lost.</t>
        </is>
      </c>
    </row>
    <row r="4">
      <c r="A4" s="2" t="inlineStr">
        <is>
          <t>2026-07-30</t>
        </is>
      </c>
      <c r="B4" s="2" t="inlineStr">
        <is>
          <t>CHC @ STL</t>
        </is>
      </c>
      <c r="C4" s="2" t="inlineStr">
        <is>
          <t>Cubs ML</t>
        </is>
      </c>
      <c r="D4" s="2" t="inlineStr">
        <is>
          <t>ticket</t>
        </is>
      </c>
      <c r="E4" s="3" t="n">
        <v>1.991</v>
      </c>
      <c r="F4" s="3" t="n">
        <v>1.99</v>
      </c>
      <c r="G4" s="4" t="n">
        <v>30000</v>
      </c>
      <c r="H4" s="2" t="inlineStr">
        <is>
          <t>won</t>
        </is>
      </c>
      <c r="I4" s="5" t="n">
        <v>29700</v>
      </c>
      <c r="J4" s="6" t="n">
        <v>-0.005</v>
      </c>
      <c r="K4" s="6" t="n">
        <v>-0.0513</v>
      </c>
      <c r="L4" s="2" t="inlineStr">
        <is>
          <t>conflict</t>
        </is>
      </c>
      <c r="M4" s="2" t="inlineStr">
        <is>
          <t>miss</t>
        </is>
      </c>
      <c r="N4" s="2" t="inlineStr">
        <is>
          <t>Cashed on variance: close (CHC +100/STL -120, sharp money on STL) says the edge was not there. Fair missed the no-vig close by 3.7pts on a source-conflict market -&gt; conflict-refusal rule shipped.</t>
        </is>
      </c>
    </row>
    <row r="5">
      <c r="A5" s="2" t="inlineStr">
        <is>
          <t>2026-07-30</t>
        </is>
      </c>
      <c r="B5" s="2" t="inlineStr">
        <is>
          <t>PIT @ CIN</t>
        </is>
      </c>
      <c r="C5" s="2" t="inlineStr">
        <is>
          <t>Reds ML</t>
        </is>
      </c>
      <c r="D5" s="2" t="inlineStr">
        <is>
          <t>order_unfilled</t>
        </is>
      </c>
      <c r="E5" s="3" t="n">
        <v>1.985</v>
      </c>
      <c r="F5" s="3" t="n"/>
      <c r="G5" s="4" t="n">
        <v>0</v>
      </c>
      <c r="H5" s="2" t="inlineStr">
        <is>
          <t>no fill</t>
        </is>
      </c>
      <c r="I5" s="5" t="n">
        <v>0</v>
      </c>
      <c r="J5" s="6" t="n"/>
      <c r="K5" s="6" t="n"/>
      <c r="L5" s="2" t="inlineStr">
        <is>
          <t>clean</t>
        </is>
      </c>
      <c r="M5" s="2" t="inlineStr">
        <is>
          <t>pending</t>
        </is>
      </c>
      <c r="N5" s="2" t="inlineStr">
        <is>
          <t>Game pending at grading. Skenes scratched late (bullpen game) - the priced premise changed; listed-pitcher rules would have mattered.</t>
        </is>
      </c>
    </row>
    <row r="6">
      <c r="A6" s="2" t="inlineStr">
        <is>
          <t>2026-07-30</t>
        </is>
      </c>
      <c r="B6" s="2" t="inlineStr">
        <is>
          <t>CHC @ STL</t>
        </is>
      </c>
      <c r="C6" s="2" t="inlineStr">
        <is>
          <t>Cross-source 'arb' +1.28%</t>
        </is>
      </c>
      <c r="D6" s="2" t="inlineStr">
        <is>
          <t>flag</t>
        </is>
      </c>
      <c r="E6" s="3" t="n"/>
      <c r="F6" s="3" t="n"/>
      <c r="G6" s="4" t="n">
        <v>0</v>
      </c>
      <c r="H6" s="2" t="inlineStr">
        <is>
          <t>validated</t>
        </is>
      </c>
      <c r="I6" s="5" t="n">
        <v>0</v>
      </c>
      <c r="J6" s="6" t="n"/>
      <c r="K6" s="6" t="n"/>
      <c r="L6" s="2" t="inlineStr">
        <is>
          <t>conflict</t>
        </is>
      </c>
      <c r="M6" s="2" t="inlineStr">
        <is>
          <t>worked</t>
        </is>
      </c>
      <c r="N6" s="2" t="inlineStr">
        <is>
          <t>Labeled unverified staleness and not executed; the close proved it was quote drift, not free money.</t>
        </is>
      </c>
    </row>
    <row r="7">
      <c r="A7" s="2" t="inlineStr">
        <is>
          <t>2026-07-31</t>
        </is>
      </c>
      <c r="B7" s="2" t="inlineStr">
        <is>
          <t>NYY @ CHC</t>
        </is>
      </c>
      <c r="C7" s="2" t="inlineStr">
        <is>
          <t>Market refused (conflict rule)</t>
        </is>
      </c>
      <c r="D7" s="2" t="inlineStr">
        <is>
          <t>refusal</t>
        </is>
      </c>
      <c r="E7" s="3" t="n"/>
      <c r="F7" s="3" t="n"/>
      <c r="G7" s="4" t="n">
        <v>0</v>
      </c>
      <c r="H7" s="2" t="inlineStr">
        <is>
          <t>validated</t>
        </is>
      </c>
      <c r="I7" s="5" t="n">
        <v>0</v>
      </c>
      <c r="J7" s="6" t="n"/>
      <c r="K7" s="6" t="n"/>
      <c r="L7" s="2" t="inlineStr">
        <is>
          <t>conflict</t>
        </is>
      </c>
      <c r="M7" s="2" t="inlineStr">
        <is>
          <t>worked</t>
        </is>
      </c>
      <c r="N7" s="2" t="inlineStr">
        <is>
          <t>Close CHC -140 landed on the sportsbook consensus; Polymarket 52c was the stale outlier (NYY won 2-0 as a +130 dog - vs the close that bet was -7% EV luck). Refusal correct.</t>
        </is>
      </c>
    </row>
    <row r="8">
      <c r="A8" s="2" t="inlineStr">
        <is>
          <t>2026-07-31</t>
        </is>
      </c>
      <c r="B8" s="2" t="inlineStr">
        <is>
          <t>PHI @ BAL</t>
        </is>
      </c>
      <c r="C8" s="2" t="inlineStr">
        <is>
          <t>Phillies ML</t>
        </is>
      </c>
      <c r="D8" s="2" t="inlineStr">
        <is>
          <t>order_open</t>
        </is>
      </c>
      <c r="E8" s="3" t="n">
        <v>2.097</v>
      </c>
      <c r="F8" s="3" t="n"/>
      <c r="G8" s="4" t="n">
        <v>0</v>
      </c>
      <c r="H8" s="2" t="inlineStr">
        <is>
          <t>no fill</t>
        </is>
      </c>
      <c r="I8" s="5" t="n">
        <v>0</v>
      </c>
      <c r="J8" s="6" t="n"/>
      <c r="K8" s="6" t="n"/>
      <c r="L8" s="2" t="inlineStr">
        <is>
          <t>clean</t>
        </is>
      </c>
      <c r="M8" s="2" t="inlineStr">
        <is>
          <t>worked</t>
        </is>
      </c>
      <c r="N8" s="2" t="inlineStr">
        <is>
          <t>PHI never traded above 2.06 (target 2.10). Close no-vig PHI 0.467: even at target the bet was -2% vs close - not filling saved money. SportsGrid model lean (PHI 54%) was the wrong side per the close.</t>
        </is>
      </c>
    </row>
    <row r="9">
      <c r="A9" s="2" t="inlineStr">
        <is>
          <t>2026-07-31</t>
        </is>
      </c>
      <c r="B9" s="2" t="inlineStr">
        <is>
          <t>PIT @ CIN</t>
        </is>
      </c>
      <c r="C9" s="2" t="inlineStr">
        <is>
          <t>Pirates ML</t>
        </is>
      </c>
      <c r="D9" s="2" t="inlineStr">
        <is>
          <t>order_open</t>
        </is>
      </c>
      <c r="E9" s="3" t="n">
        <v>1.966</v>
      </c>
      <c r="F9" s="3" t="n"/>
      <c r="G9" s="4" t="n">
        <v>0</v>
      </c>
      <c r="H9" s="2" t="inlineStr">
        <is>
          <t>no fill</t>
        </is>
      </c>
      <c r="I9" s="5" t="n">
        <v>0</v>
      </c>
      <c r="J9" s="6" t="n"/>
      <c r="K9" s="6" t="n"/>
      <c r="L9" s="2" t="inlineStr">
        <is>
          <t>clean</t>
        </is>
      </c>
      <c r="M9" s="2" t="inlineStr">
        <is>
          <t>worked</t>
        </is>
      </c>
      <c r="N9" s="2" t="inlineStr">
        <is>
          <t>PIT -120 to -136 all day, never near the 1.966 target. Close no-vig PIT 0.564: a 1.966 fill would have been ~+11% EV vs close - right side, market never paid the price.</t>
        </is>
      </c>
    </row>
    <row r="10">
      <c r="A10" s="2" t="inlineStr">
        <is>
          <t>2026-08-01</t>
        </is>
      </c>
      <c r="B10" s="2" t="inlineStr">
        <is>
          <t>PIT @ CIN</t>
        </is>
      </c>
      <c r="C10" s="2" t="inlineStr">
        <is>
          <t>Reds ML</t>
        </is>
      </c>
      <c r="D10" s="2" t="inlineStr">
        <is>
          <t>order_unfilled</t>
        </is>
      </c>
      <c r="E10" s="3" t="n">
        <v>2.231</v>
      </c>
      <c r="F10" s="3" t="n"/>
      <c r="G10" s="4" t="n">
        <v>0</v>
      </c>
      <c r="H10" s="2" t="inlineStr">
        <is>
          <t>no fill</t>
        </is>
      </c>
      <c r="I10" s="5" t="n">
        <v>0</v>
      </c>
      <c r="J10" s="6" t="n"/>
      <c r="K10" s="6" t="n"/>
      <c r="L10" s="2" t="inlineStr">
        <is>
          <t>clean</t>
        </is>
      </c>
      <c r="M10" s="2" t="inlineStr">
        <is>
          <t>worked</t>
        </is>
      </c>
      <c r="N10" s="2" t="inlineStr">
        <is>
          <t>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11">
      <c r="A11" s="2" t="inlineStr">
        <is>
          <t>2026-08-01</t>
        </is>
      </c>
      <c r="B11" s="2" t="inlineStr">
        <is>
          <t>PIT @ CIN</t>
        </is>
      </c>
      <c r="C11" s="2" t="inlineStr">
        <is>
          <t>Pirates ML</t>
        </is>
      </c>
      <c r="D11" s="2" t="inlineStr">
        <is>
          <t>order_open</t>
        </is>
      </c>
      <c r="E11" s="3" t="n">
        <v>1.888</v>
      </c>
      <c r="F11" s="3" t="n"/>
      <c r="G11" s="4" t="n">
        <v>0</v>
      </c>
      <c r="H11" s="2" t="inlineStr">
        <is>
          <t>superseded</t>
        </is>
      </c>
      <c r="I11" s="5" t="n">
        <v>0</v>
      </c>
      <c r="J11" s="6" t="n"/>
      <c r="K11" s="6" t="n"/>
      <c r="L11" s="2" t="inlineStr">
        <is>
          <t>clean</t>
        </is>
      </c>
      <c r="M11" s="2" t="inlineStr">
        <is>
          <t>superseded</t>
        </is>
      </c>
      <c r="N11" s="2" t="inlineStr">
        <is>
          <t>Superseded by the full-card re-rank (PIT side fell out of the top orders).</t>
        </is>
      </c>
    </row>
    <row r="12">
      <c r="A12" s="2" t="inlineStr">
        <is>
          <t>2026-08-01</t>
        </is>
      </c>
      <c r="B12" s="2" t="inlineStr">
        <is>
          <t>NYY @ CHC</t>
        </is>
      </c>
      <c r="C12" s="2" t="inlineStr">
        <is>
          <t>Market refused (conflict rule, day 2)</t>
        </is>
      </c>
      <c r="D12" s="2" t="inlineStr">
        <is>
          <t>refusal</t>
        </is>
      </c>
      <c r="E12" s="3" t="n"/>
      <c r="F12" s="3" t="n"/>
      <c r="G12" s="4" t="n">
        <v>0</v>
      </c>
      <c r="H12" s="2" t="inlineStr">
        <is>
          <t>validated</t>
        </is>
      </c>
      <c r="I12" s="5" t="n">
        <v>0</v>
      </c>
      <c r="J12" s="6" t="n"/>
      <c r="K12" s="6" t="n"/>
      <c r="L12" s="2" t="inlineStr">
        <is>
          <t>conflict</t>
        </is>
      </c>
      <c r="M12" s="2" t="inlineStr">
        <is>
          <t>worked</t>
        </is>
      </c>
      <c r="N12" s="2" t="inlineStr">
        <is>
          <t>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13">
      <c r="A13" s="2" t="inlineStr">
        <is>
          <t>2026-08-01</t>
        </is>
      </c>
      <c r="B13" s="2" t="inlineStr">
        <is>
          <t>WSH @ ATL</t>
        </is>
      </c>
      <c r="C13" s="2" t="inlineStr">
        <is>
          <t>Market refused (no anchor &gt;= 0.5)</t>
        </is>
      </c>
      <c r="D13" s="2" t="inlineStr">
        <is>
          <t>refusal</t>
        </is>
      </c>
      <c r="E13" s="3" t="n"/>
      <c r="F13" s="3" t="n"/>
      <c r="G13" s="4" t="n">
        <v>0</v>
      </c>
      <c r="H13" s="2" t="inlineStr">
        <is>
          <t>validated</t>
        </is>
      </c>
      <c r="I13" s="5" t="n">
        <v>0</v>
      </c>
      <c r="J13" s="6" t="n"/>
      <c r="K13" s="6" t="n"/>
      <c r="L13" s="2" t="inlineStr">
        <is>
          <t>clean</t>
        </is>
      </c>
      <c r="M13" s="2" t="inlineStr">
        <is>
          <t>worked</t>
        </is>
      </c>
      <c r="N13" s="2" t="inlineStr">
        <is>
          <t>Braves 8-3. Polymarket-only board stayed unpriced per the 0.45-sharpness demotion; no book close collected for this game.</t>
        </is>
      </c>
    </row>
    <row r="14">
      <c r="A14" s="2" t="inlineStr">
        <is>
          <t>2026-08-01</t>
        </is>
      </c>
      <c r="B14" s="2" t="inlineStr">
        <is>
          <t>PHI @ BAL</t>
        </is>
      </c>
      <c r="C14" s="2" t="inlineStr">
        <is>
          <t>Orioles ML</t>
        </is>
      </c>
      <c r="D14" s="2" t="inlineStr">
        <is>
          <t>order_unfilled</t>
        </is>
      </c>
      <c r="E14" s="3" t="n">
        <v>2.225</v>
      </c>
      <c r="F14" s="3" t="n"/>
      <c r="G14" s="4" t="n">
        <v>0</v>
      </c>
      <c r="H14" s="2" t="inlineStr">
        <is>
          <t>no fill</t>
        </is>
      </c>
      <c r="I14" s="5" t="n">
        <v>0</v>
      </c>
      <c r="J14" s="6" t="n"/>
      <c r="K14" s="6" t="n"/>
      <c r="L14" s="2" t="inlineStr">
        <is>
          <t>clean</t>
        </is>
      </c>
      <c r="M14" s="2" t="inlineStr">
        <is>
          <t>worked</t>
        </is>
      </c>
      <c r="N14" s="2" t="inlineStr">
        <is>
          <t>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15">
      <c r="A15" s="2" t="inlineStr">
        <is>
          <t>2026-08-01</t>
        </is>
      </c>
      <c r="B15" s="2" t="inlineStr">
        <is>
          <t>SEA @ POR (MLS)</t>
        </is>
      </c>
      <c r="C15" s="2" t="inlineStr">
        <is>
          <t>Timbers ML</t>
        </is>
      </c>
      <c r="D15" s="2" t="inlineStr">
        <is>
          <t>order_unfilled</t>
        </is>
      </c>
      <c r="E15" s="3" t="n">
        <v>2.23</v>
      </c>
      <c r="F15" s="3" t="n"/>
      <c r="G15" s="4" t="n">
        <v>0</v>
      </c>
      <c r="H15" s="2" t="inlineStr">
        <is>
          <t>no fill</t>
        </is>
      </c>
      <c r="I15" s="5" t="n">
        <v>0</v>
      </c>
      <c r="J15" s="6" t="n"/>
      <c r="K15" s="6" t="n"/>
      <c r="L15" s="2" t="inlineStr">
        <is>
          <t>clean</t>
        </is>
      </c>
      <c r="M15" s="2" t="inlineStr">
        <is>
          <t>worked</t>
        </is>
      </c>
      <c r="N15" s="2" t="inlineStr">
        <is>
          <t>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16">
      <c r="A16" s="2" t="inlineStr">
        <is>
          <t>2026-08-02</t>
        </is>
      </c>
      <c r="B16" s="2" t="inlineStr">
        <is>
          <t>WSH @ ATL</t>
        </is>
      </c>
      <c r="C16" s="2" t="inlineStr">
        <is>
          <t>Braves ML</t>
        </is>
      </c>
      <c r="D16" s="2" t="inlineStr">
        <is>
          <t>order_void</t>
        </is>
      </c>
      <c r="E16" s="3" t="n">
        <v>1.866</v>
      </c>
      <c r="F16" s="3" t="n"/>
      <c r="G16" s="4" t="n">
        <v>0</v>
      </c>
      <c r="H16" s="2" t="inlineStr">
        <is>
          <t>no fill</t>
        </is>
      </c>
      <c r="I16" s="5" t="n">
        <v>0</v>
      </c>
      <c r="J16" s="6" t="n"/>
      <c r="K16" s="6" t="n"/>
      <c r="L16" s="2" t="inlineStr">
        <is>
          <t>clean</t>
        </is>
      </c>
      <c r="M16" s="2" t="inlineStr">
        <is>
          <t>miss</t>
        </is>
      </c>
      <c r="N16" s="2" t="inlineStr">
        <is>
          <t>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17">
      <c r="A17" s="2" t="inlineStr">
        <is>
          <t>2026-08-02</t>
        </is>
      </c>
      <c r="B17" s="2" t="inlineStr">
        <is>
          <t>BOS @ LAD (Sunday Night Baseball)</t>
        </is>
      </c>
      <c r="C17" s="2" t="inlineStr">
        <is>
          <t>Dodgers ML</t>
        </is>
      </c>
      <c r="D17" s="2" t="inlineStr">
        <is>
          <t>order_void</t>
        </is>
      </c>
      <c r="E17" s="3" t="n">
        <v>1.666</v>
      </c>
      <c r="F17" s="3" t="n"/>
      <c r="G17" s="4" t="n">
        <v>0</v>
      </c>
      <c r="H17" s="2" t="inlineStr">
        <is>
          <t>no fill</t>
        </is>
      </c>
      <c r="I17" s="5" t="n">
        <v>0</v>
      </c>
      <c r="J17" s="6" t="n"/>
      <c r="K17" s="6" t="n"/>
      <c r="L17" s="2" t="inlineStr">
        <is>
          <t>clean</t>
        </is>
      </c>
      <c r="M17" s="2" t="inlineStr">
        <is>
          <t>miss</t>
        </is>
      </c>
      <c r="N17" s="2" t="inlineStr">
        <is>
          <t>VOID - cancelled at 7:03 PM ET with first pitch 7:20 PM ET: no time to re-verify the line, and every price on the card is a morning-stale snapshot. An unsupervisable order is not an order.</t>
        </is>
      </c>
    </row>
    <row r="18">
      <c r="A18" s="2" t="inlineStr">
        <is>
          <t>2026-08-02</t>
        </is>
      </c>
      <c r="B18" s="2" t="inlineStr">
        <is>
          <t>MIA @ NYM</t>
        </is>
      </c>
      <c r="C18" s="2" t="inlineStr">
        <is>
          <t>Marlins ML</t>
        </is>
      </c>
      <c r="D18" s="2" t="inlineStr">
        <is>
          <t>order_void</t>
        </is>
      </c>
      <c r="E18" s="3" t="n">
        <v>1.925</v>
      </c>
      <c r="F18" s="3" t="n"/>
      <c r="G18" s="4" t="n">
        <v>0</v>
      </c>
      <c r="H18" s="2" t="inlineStr">
        <is>
          <t>no fill</t>
        </is>
      </c>
      <c r="I18" s="5" t="n">
        <v>0</v>
      </c>
      <c r="J18" s="6" t="n"/>
      <c r="K18" s="6" t="n"/>
      <c r="L18" s="2" t="inlineStr">
        <is>
          <t>clean</t>
        </is>
      </c>
      <c r="M18" s="2" t="inlineStr">
        <is>
          <t>miss</t>
        </is>
      </c>
      <c r="N18" s="2" t="inlineStr">
        <is>
          <t>VOID - shipped after the 1:40 PM ET first pitch (same process miss as the headline order). No bet placed, none should be.</t>
        </is>
      </c>
    </row>
    <row r="19">
      <c r="A19" s="2" t="inlineStr">
        <is>
          <t>2026-08-02</t>
        </is>
      </c>
      <c r="B19" s="2" t="inlineStr">
        <is>
          <t>PIT @ CIN</t>
        </is>
      </c>
      <c r="C19" s="2" t="inlineStr">
        <is>
          <t>Moneyline refused (conflict rule)</t>
        </is>
      </c>
      <c r="D19" s="2" t="inlineStr">
        <is>
          <t>refusal</t>
        </is>
      </c>
      <c r="E19" s="3" t="n"/>
      <c r="F19" s="3" t="n"/>
      <c r="G19" s="4" t="n">
        <v>0</v>
      </c>
      <c r="H19" s="2" t="inlineStr">
        <is>
          <t>validated</t>
        </is>
      </c>
      <c r="I19" s="5" t="n">
        <v>0</v>
      </c>
      <c r="J19" s="6" t="n"/>
      <c r="K19" s="6" t="n"/>
      <c r="L19" s="2" t="inlineStr">
        <is>
          <t>conflict</t>
        </is>
      </c>
      <c r="M19" s="2" t="inlineStr">
        <is>
          <t>worked</t>
        </is>
      </c>
      <c r="N19" s="2" t="inlineStr">
        <is>
          <t>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20">
      <c r="A20" s="2" t="inlineStr">
        <is>
          <t>2026-08-03</t>
        </is>
      </c>
      <c r="B20" s="2" t="inlineStr">
        <is>
          <t>STL @ NYY (7:05 PM ET Mon)</t>
        </is>
      </c>
      <c r="C20" s="2" t="inlineStr">
        <is>
          <t>Yankees ML</t>
        </is>
      </c>
      <c r="D20" s="2" t="inlineStr">
        <is>
          <t>order_unfilled</t>
        </is>
      </c>
      <c r="E20" s="3" t="n">
        <v>1.599</v>
      </c>
      <c r="F20" s="3" t="n"/>
      <c r="G20" s="4" t="n">
        <v>0</v>
      </c>
      <c r="H20" s="2" t="inlineStr">
        <is>
          <t>no fill</t>
        </is>
      </c>
      <c r="I20" s="5" t="n">
        <v>0</v>
      </c>
      <c r="J20" s="6" t="n"/>
      <c r="K20" s="6" t="n"/>
      <c r="L20" s="2" t="inlineStr">
        <is>
          <t>clean</t>
        </is>
      </c>
      <c r="M20" s="2" t="inlineStr">
        <is>
          <t>worked</t>
        </is>
      </c>
      <c r="N20" s="2" t="inlineStr">
        <is>
          <t>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21">
      <c r="A21" s="2" t="inlineStr">
        <is>
          <t>2026-08-03</t>
        </is>
      </c>
      <c r="B21" s="2" t="inlineStr">
        <is>
          <t>SEA @ NYL (7:00 PM ET Mon)</t>
        </is>
      </c>
      <c r="C21" s="2" t="inlineStr">
        <is>
          <t>Liberty ML</t>
        </is>
      </c>
      <c r="D21" s="2" t="inlineStr">
        <is>
          <t>order_filled_paper</t>
        </is>
      </c>
      <c r="E21" s="3" t="n">
        <v>1.278</v>
      </c>
      <c r="F21" s="3" t="n">
        <v>1.278</v>
      </c>
      <c r="G21" s="4" t="n">
        <v>0</v>
      </c>
      <c r="H21" s="2" t="inlineStr">
        <is>
          <t>won</t>
        </is>
      </c>
      <c r="I21" s="5" t="n">
        <v>0</v>
      </c>
      <c r="J21" s="6" t="n">
        <v>-0.0318</v>
      </c>
      <c r="K21" s="6" t="n">
        <v>-0.0536</v>
      </c>
      <c r="L21" s="2" t="inlineStr">
        <is>
          <t>clean</t>
        </is>
      </c>
      <c r="M21" s="2" t="inlineStr">
        <is>
          <t>flagged</t>
        </is>
      </c>
      <c r="N21" s="2" t="inlineStr">
        <is>
          <t>FILL CONDITION MET AND CASHED - but read the CLV. Liberty drifted -450 -&gt; -315 close, straight through the 1.278 trigger, and won 95-83. At the conservative fill (1.278) that is NEGATIVE CLV vs the ~1.35 no-vig close: a resting limit order fills precisely when the market moves through it - adverse selection (Walters: the drift was information; the market said the Storm were live-r than our day-old board). Paper grade only, stake 0: this was a backup order, not the headline, and the user bets headline only.</t>
        </is>
      </c>
    </row>
    <row r="22">
      <c r="A22" s="2" t="inlineStr">
        <is>
          <t>2026-08-03</t>
        </is>
      </c>
      <c r="B22" s="2" t="inlineStr">
        <is>
          <t>SFG @ TEX (8:05 PM ET Mon)</t>
        </is>
      </c>
      <c r="C22" s="2" t="inlineStr">
        <is>
          <t>Rangers ML</t>
        </is>
      </c>
      <c r="D22" s="2" t="inlineStr">
        <is>
          <t>order_unfilled</t>
        </is>
      </c>
      <c r="E22" s="3" t="n">
        <v>2.03</v>
      </c>
      <c r="F22" s="3" t="n"/>
      <c r="G22" s="4" t="n">
        <v>0</v>
      </c>
      <c r="H22" s="2" t="inlineStr">
        <is>
          <t>no fill</t>
        </is>
      </c>
      <c r="I22" s="5" t="n">
        <v>0</v>
      </c>
      <c r="J22" s="6" t="n"/>
      <c r="K22" s="6" t="n"/>
      <c r="L22" s="2" t="inlineStr">
        <is>
          <t>clean</t>
        </is>
      </c>
      <c r="M22" s="2" t="inlineStr">
        <is>
          <t>worked</t>
        </is>
      </c>
      <c r="N22" s="2" t="inlineStr">
        <is>
          <t>NOT FILLED - TEX never reached plus-money (observed -105 to -125 across books; +103 trigger unreached), then lost 1-5 with five errors behind Webb's 6 shutout IP. Second unfilled loser dodged on the day.</t>
        </is>
      </c>
    </row>
    <row r="23">
      <c r="A23" s="2" t="inlineStr">
        <is>
          <t>2026-08-03</t>
        </is>
      </c>
      <c r="B23" s="2" t="inlineStr">
        <is>
          <t>SDP @ AZ (9:40 PM ET Mon)</t>
        </is>
      </c>
      <c r="C23" s="2" t="inlineStr">
        <is>
          <t>Board rejected pre-slate (garbled quotes)</t>
        </is>
      </c>
      <c r="D23" s="2" t="inlineStr">
        <is>
          <t>flag</t>
        </is>
      </c>
      <c r="E23" s="3" t="n"/>
      <c r="F23" s="3" t="n"/>
      <c r="G23" s="4" t="n">
        <v>0</v>
      </c>
      <c r="H23" s="2" t="inlineStr">
        <is>
          <t>validated</t>
        </is>
      </c>
      <c r="I23" s="5" t="n">
        <v>0</v>
      </c>
      <c r="J23" s="6" t="n"/>
      <c r="K23" s="6" t="n"/>
      <c r="L23" s="2" t="inlineStr">
        <is>
          <t>conflict</t>
        </is>
      </c>
      <c r="M23" s="2" t="inlineStr">
        <is>
          <t>worked</t>
        </is>
      </c>
      <c r="N23" s="2" t="inlineStr">
        <is>
          <t>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24">
      <c r="A24" s="2" t="inlineStr">
        <is>
          <t>2026-08-06</t>
        </is>
      </c>
      <c r="B24" s="2" t="inlineStr">
        <is>
          <t>ATH @ CIN (start time unverified; typical 12:35 PM ET getaway)</t>
        </is>
      </c>
      <c r="C24" s="2" t="inlineStr">
        <is>
          <t>Reds ML</t>
        </is>
      </c>
      <c r="D24" s="2" t="inlineStr">
        <is>
          <t>order_open</t>
        </is>
      </c>
      <c r="E24" s="3" t="n">
        <v>1.679</v>
      </c>
      <c r="F24" s="3" t="n"/>
      <c r="G24" s="4" t="n">
        <v>0</v>
      </c>
      <c r="H24" s="2" t="inlineStr">
        <is>
          <t>pending</t>
        </is>
      </c>
      <c r="I24" s="5" t="n">
        <v>0</v>
      </c>
      <c r="J24" s="6" t="n"/>
      <c r="K24" s="6" t="n"/>
      <c r="L24" s="2" t="inlineStr">
        <is>
          <t>clean</t>
        </is>
      </c>
      <c r="M24" s="2" t="inlineStr">
        <is>
          <t>pending</t>
        </is>
      </c>
      <c r="N24" s="2" t="inlineStr">
        <is>
          <t>HEADLINE ORDER on a market-only card. Fair 1.638 (pure power-devig of the Covers single-book board CIN -171/ATH +141; no model - CIN's published records conflict arithmetically with our verified baseline, so the in-house layer sits out rather than eat bad input). Fires at 1.679+ only. Caveats: Aug-6 pitchers unannounced at ship time; single-book anchor; verify the start time before acting - the gate clears even at the earliest plausible start, but a fill needs a live re-check of pitchers and price.</t>
        </is>
      </c>
    </row>
    <row r="25">
      <c r="A25" s="2" t="inlineStr">
        <is>
          <t>2026-08-06</t>
        </is>
      </c>
      <c r="B25" s="2" t="inlineStr">
        <is>
          <t>Dinamo Minsk @ Braga (UECL Q3 leg 1; kickoff ~3:00-3:45 PM ET assumed)</t>
        </is>
      </c>
      <c r="C25" s="2" t="inlineStr">
        <is>
          <t>Braga ML (3-way, draw/away lose)</t>
        </is>
      </c>
      <c r="D25" s="2" t="inlineStr">
        <is>
          <t>order_open</t>
        </is>
      </c>
      <c r="E25" s="3" t="n">
        <v>1.141</v>
      </c>
      <c r="F25" s="3" t="n"/>
      <c r="G25" s="4" t="n">
        <v>0</v>
      </c>
      <c r="H25" s="2" t="inlineStr">
        <is>
          <t>pending</t>
        </is>
      </c>
      <c r="I25" s="5" t="n">
        <v>0</v>
      </c>
      <c r="J25" s="6" t="n"/>
      <c r="K25" s="6" t="n"/>
      <c r="L25" s="2" t="inlineStr">
        <is>
          <t>clean</t>
        </is>
      </c>
      <c r="M25" s="2" t="inlineStr">
        <is>
          <t>pending</t>
        </is>
      </c>
      <c r="N25" s="2" t="inlineStr">
        <is>
          <t>Engine's top order by EV, deliberately NOT the headline: on a 1.10 favorite, a 4-cent 'fill' is usually cross-book variance, not a market move - the Aug-3 Liberty grade showed resting-trigger fills on drifting lines carry negative CLV. This order requires a re-verified live quote at 1.141+, not a resting fill.</t>
        </is>
      </c>
    </row>
    <row r="26">
      <c r="A26" s="2" t="inlineStr">
        <is>
          <t>2026-08-06</t>
        </is>
      </c>
      <c r="B26" s="2" t="inlineStr">
        <is>
          <t>ARI @ CAR, Hall of Fame Game (8:00 PM ET Thu, Canton - neutral site)</t>
        </is>
      </c>
      <c r="C26" s="2" t="inlineStr">
        <is>
          <t>Cardinals +1.5</t>
        </is>
      </c>
      <c r="D26" s="2" t="inlineStr">
        <is>
          <t>order_open</t>
        </is>
      </c>
      <c r="E26" s="3" t="n">
        <v>1.88</v>
      </c>
      <c r="F26" s="3" t="n"/>
      <c r="G26" s="4" t="n">
        <v>0</v>
      </c>
      <c r="H26" s="2" t="inlineStr">
        <is>
          <t>pending</t>
        </is>
      </c>
      <c r="I26" s="5" t="n">
        <v>0</v>
      </c>
      <c r="J26" s="6" t="n"/>
      <c r="K26" s="6" t="n"/>
      <c r="L26" s="2" t="inlineStr">
        <is>
          <t>clean</t>
        </is>
      </c>
      <c r="M26" s="2" t="inlineStr">
        <is>
          <t>pending</t>
        </is>
      </c>
      <c r="N26" s="2" t="inlineStr">
        <is>
          <t>First football order of the season, strictly a backup. Fair 1.834 off the DK board; juice already flipped toward the ARI side (dog money). PRESEASON: starters sit, Carson Beck starts for ARI, variance extreme - star sizing only if it somehow fills.</t>
        </is>
      </c>
    </row>
    <row r="27">
      <c r="A27" s="2" t="inlineStr">
        <is>
          <t>2026-08-06</t>
        </is>
      </c>
      <c r="B27" s="2" t="inlineStr">
        <is>
          <t>ARI @ CAR (HOF Game)</t>
        </is>
      </c>
      <c r="C27" s="2" t="inlineStr">
        <is>
          <t>Wong teaser leg suppressed (ARI +1.5 -&gt; +7.5)</t>
        </is>
      </c>
      <c r="D27" s="2" t="inlineStr">
        <is>
          <t>flag</t>
        </is>
      </c>
      <c r="E27" s="3" t="n"/>
      <c r="F27" s="3" t="n"/>
      <c r="G27" s="4" t="n">
        <v>0</v>
      </c>
      <c r="H27" s="2" t="inlineStr">
        <is>
          <t>pending</t>
        </is>
      </c>
      <c r="I27" s="5" t="n">
        <v>0</v>
      </c>
      <c r="J27" s="6" t="n"/>
      <c r="K27" s="6" t="n"/>
      <c r="L27" s="2" t="inlineStr">
        <is>
          <t>clean</t>
        </is>
      </c>
      <c r="M27" s="2" t="inlineStr">
        <is>
          <t>pending</t>
        </is>
      </c>
      <c r="N27" s="2" t="inlineStr">
        <is>
          <t>The teaser machinery is correctly football-gated, but preseason football lacks the key-number margin distribution Wong teasers exploit (starters sit; 3s and 7s aren't privileged). Leg suppressed from the slip by hand; a preseason/regular-season gate in the engine is deferred until a graded miss justifies it (Walters rule). This flag is that paper trail.</t>
        </is>
      </c>
    </row>
    <row r="29">
      <c r="A29" s="7" t="inlineStr">
        <is>
          <t>Blue cells = ledger data (regenerated by sharpods-tracker; edit data/track_record.json, not this sheet). Dashboard recomputes from these rows automatically. To grade a bet you placed yourself: set Type=ticket, Result=won or lost, and fill Stake $ and P&amp;L $ — the Dashboard picks it up. For an order that never filled, set Result=no fill.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11" customWidth="1" min="1" max="1"/>
    <col width="26" customWidth="1" min="2" max="2"/>
    <col width="14" customWidth="1" min="3" max="3"/>
    <col width="16" customWidth="1" min="4" max="4"/>
    <col width="11" customWidth="1" min="5" max="5"/>
    <col width="13" customWidth="1" min="6" max="6"/>
    <col width="11" customWidth="1" min="7" max="7"/>
    <col width="11" customWidth="1" min="8" max="8"/>
    <col width="15" customWidth="1" min="9" max="9"/>
  </cols>
  <sheetData>
    <row r="1">
      <c r="A1" s="1" t="inlineStr">
        <is>
          <t>Date</t>
        </is>
      </c>
      <c r="B1" s="1" t="inlineStr">
        <is>
          <t>Event</t>
        </is>
      </c>
      <c r="C1" s="1" t="inlineStr">
        <is>
          <t>Our fair (home)</t>
        </is>
      </c>
      <c r="D1" s="1" t="inlineStr">
        <is>
          <t>Close no-vig (home)</t>
        </is>
      </c>
      <c r="E1" s="1" t="inlineStr">
        <is>
          <t>Error (pts)</t>
        </is>
      </c>
      <c r="F1" s="1" t="inlineStr">
        <is>
          <t>Home won (1/0)</t>
        </is>
      </c>
      <c r="G1" s="1" t="inlineStr">
        <is>
          <t>Brier ours</t>
        </is>
      </c>
      <c r="H1" s="1" t="inlineStr">
        <is>
          <t>Brier close</t>
        </is>
      </c>
      <c r="I1" s="1" t="inlineStr">
        <is>
          <t>Source flag</t>
        </is>
      </c>
    </row>
    <row r="2">
      <c r="A2" s="2" t="inlineStr">
        <is>
          <t>2026-07-29</t>
        </is>
      </c>
      <c r="B2" s="2" t="inlineStr">
        <is>
          <t>mlb-2026-07-29-bal-det</t>
        </is>
      </c>
      <c r="C2" s="8" t="n">
        <v>0.6183999999999999</v>
      </c>
      <c r="D2" s="8" t="n">
        <v>0.6225000000000001</v>
      </c>
      <c r="E2" s="9">
        <f>ABS(C2-D2)*100</f>
        <v/>
      </c>
      <c r="F2" s="2" t="n">
        <v>0</v>
      </c>
      <c r="G2" s="10">
        <f>(C2-F2)^2</f>
        <v/>
      </c>
      <c r="H2" s="10">
        <f>(D2-F2)^2</f>
        <v/>
      </c>
      <c r="I2" s="2" t="inlineStr">
        <is>
          <t>clean</t>
        </is>
      </c>
    </row>
    <row r="3">
      <c r="A3" s="2" t="inlineStr">
        <is>
          <t>2026-07-29</t>
        </is>
      </c>
      <c r="B3" s="2" t="inlineStr">
        <is>
          <t>mlb-2026-07-29-atl-nym-g1</t>
        </is>
      </c>
      <c r="C3" s="8" t="n">
        <v>0.4953</v>
      </c>
      <c r="D3" s="8" t="n">
        <v>0.4907</v>
      </c>
      <c r="E3" s="9">
        <f>ABS(C3-D3)*100</f>
        <v/>
      </c>
      <c r="F3" s="2" t="n">
        <v>1</v>
      </c>
      <c r="G3" s="10">
        <f>(C3-F3)^2</f>
        <v/>
      </c>
      <c r="H3" s="10">
        <f>(D3-F3)^2</f>
        <v/>
      </c>
      <c r="I3" s="2" t="inlineStr">
        <is>
          <t>clean</t>
        </is>
      </c>
    </row>
    <row r="4">
      <c r="A4" s="2" t="inlineStr">
        <is>
          <t>2026-07-29</t>
        </is>
      </c>
      <c r="B4" s="2" t="inlineStr">
        <is>
          <t>mlb-2026-07-29-col-sd</t>
        </is>
      </c>
      <c r="C4" s="8" t="n">
        <v>0.5644</v>
      </c>
      <c r="D4" s="8" t="n">
        <v>0.5617</v>
      </c>
      <c r="E4" s="9">
        <f>ABS(C4-D4)*100</f>
        <v/>
      </c>
      <c r="F4" s="2" t="n">
        <v>1</v>
      </c>
      <c r="G4" s="10">
        <f>(C4-F4)^2</f>
        <v/>
      </c>
      <c r="H4" s="10">
        <f>(D4-F4)^2</f>
        <v/>
      </c>
      <c r="I4" s="2" t="inlineStr">
        <is>
          <t>clean</t>
        </is>
      </c>
    </row>
    <row r="5">
      <c r="A5" s="2" t="inlineStr">
        <is>
          <t>2026-07-29</t>
        </is>
      </c>
      <c r="B5" s="2" t="inlineStr">
        <is>
          <t>mlb-2026-07-29-tor-wsh</t>
        </is>
      </c>
      <c r="C5" s="8" t="n">
        <v>0.4653</v>
      </c>
      <c r="D5" s="8" t="n">
        <v>0.4678</v>
      </c>
      <c r="E5" s="9">
        <f>ABS(C5-D5)*100</f>
        <v/>
      </c>
      <c r="F5" s="2" t="n">
        <v>0</v>
      </c>
      <c r="G5" s="10">
        <f>(C5-F5)^2</f>
        <v/>
      </c>
      <c r="H5" s="10">
        <f>(D5-F5)^2</f>
        <v/>
      </c>
      <c r="I5" s="2" t="inlineStr">
        <is>
          <t>clean</t>
        </is>
      </c>
    </row>
    <row r="6">
      <c r="A6" s="2" t="inlineStr">
        <is>
          <t>2026-07-29</t>
        </is>
      </c>
      <c r="B6" s="2" t="inlineStr">
        <is>
          <t>mlb-2026-07-29-phi-mia</t>
        </is>
      </c>
      <c r="C6" s="8" t="n">
        <v>0.4108</v>
      </c>
      <c r="D6" s="8" t="n">
        <v>0.3865</v>
      </c>
      <c r="E6" s="9">
        <f>ABS(C6-D6)*100</f>
        <v/>
      </c>
      <c r="F6" s="2" t="n">
        <v>1</v>
      </c>
      <c r="G6" s="10">
        <f>(C6-F6)^2</f>
        <v/>
      </c>
      <c r="H6" s="10">
        <f>(D6-F6)^2</f>
        <v/>
      </c>
      <c r="I6" s="2" t="inlineStr">
        <is>
          <t>clean</t>
        </is>
      </c>
    </row>
    <row r="7">
      <c r="A7" s="2" t="inlineStr">
        <is>
          <t>2026-07-30</t>
        </is>
      </c>
      <c r="B7" s="2" t="inlineStr">
        <is>
          <t>mlb-2026-07-30-tex-tb</t>
        </is>
      </c>
      <c r="C7" s="8" t="n">
        <v>0.6203</v>
      </c>
      <c r="D7" s="8" t="n">
        <v>0.5713</v>
      </c>
      <c r="E7" s="9">
        <f>ABS(C7-D7)*100</f>
        <v/>
      </c>
      <c r="F7" s="2" t="n">
        <v>1</v>
      </c>
      <c r="G7" s="10">
        <f>(C7-F7)^2</f>
        <v/>
      </c>
      <c r="H7" s="10">
        <f>(D7-F7)^2</f>
        <v/>
      </c>
      <c r="I7" s="2" t="inlineStr">
        <is>
          <t>low-conf close</t>
        </is>
      </c>
    </row>
    <row r="8">
      <c r="A8" s="2" t="inlineStr">
        <is>
          <t>2026-07-30</t>
        </is>
      </c>
      <c r="B8" s="2" t="inlineStr">
        <is>
          <t>mlb-2026-07-30-chc-stl</t>
        </is>
      </c>
      <c r="C8" s="8" t="n">
        <v>0.4852</v>
      </c>
      <c r="D8" s="8" t="n">
        <v>0.5233</v>
      </c>
      <c r="E8" s="9">
        <f>ABS(C8-D8)*100</f>
        <v/>
      </c>
      <c r="F8" s="2" t="n">
        <v>0</v>
      </c>
      <c r="G8" s="10">
        <f>(C8-F8)^2</f>
        <v/>
      </c>
      <c r="H8" s="10">
        <f>(D8-F8)^2</f>
        <v/>
      </c>
      <c r="I8" s="2" t="inlineStr">
        <is>
          <t>conflict</t>
        </is>
      </c>
    </row>
    <row r="9">
      <c r="A9" s="2" t="inlineStr">
        <is>
          <t>2026-07-30</t>
        </is>
      </c>
      <c r="B9" s="2" t="inlineStr">
        <is>
          <t>mlb-2026-07-30-mia-nym</t>
        </is>
      </c>
      <c r="C9" s="8" t="n">
        <v>0.5522</v>
      </c>
      <c r="D9" s="8" t="n">
        <v>0.5454</v>
      </c>
      <c r="E9" s="9">
        <f>ABS(C9-D9)*100</f>
        <v/>
      </c>
      <c r="F9" s="2" t="n">
        <v>1</v>
      </c>
      <c r="G9" s="10">
        <f>(C9-F9)^2</f>
        <v/>
      </c>
      <c r="H9" s="10">
        <f>(D9-F9)^2</f>
        <v/>
      </c>
      <c r="I9" s="2" t="inlineStr">
        <is>
          <t>clean</t>
        </is>
      </c>
    </row>
    <row r="10">
      <c r="A10" s="2" t="inlineStr">
        <is>
          <t>2026-07-30</t>
        </is>
      </c>
      <c r="B10" s="2" t="inlineStr">
        <is>
          <t>mlb-2026-07-30-wsh-atl</t>
        </is>
      </c>
      <c r="C10" s="8" t="n">
        <v>0.5255</v>
      </c>
      <c r="D10" s="8" t="n">
        <v>0.5665</v>
      </c>
      <c r="E10" s="9">
        <f>ABS(C10-D10)*100</f>
        <v/>
      </c>
      <c r="F10" s="2" t="n">
        <v>1</v>
      </c>
      <c r="G10" s="10">
        <f>(C10-F10)^2</f>
        <v/>
      </c>
      <c r="H10" s="10">
        <f>(D10-F10)^2</f>
        <v/>
      </c>
      <c r="I10" s="2" t="inlineStr">
        <is>
          <t>stale quote</t>
        </is>
      </c>
    </row>
    <row r="11">
      <c r="A11" s="2" t="inlineStr">
        <is>
          <t>2026-07-30</t>
        </is>
      </c>
      <c r="B11" s="2" t="inlineStr">
        <is>
          <t>mlb-2026-07-30-bos-ath</t>
        </is>
      </c>
      <c r="C11" s="8" t="n">
        <v>0.4117</v>
      </c>
      <c r="D11" s="8" t="n">
        <v>0.3733</v>
      </c>
      <c r="E11" s="9">
        <f>ABS(C11-D11)*100</f>
        <v/>
      </c>
      <c r="F11" s="2" t="n">
        <v>0</v>
      </c>
      <c r="G11" s="10">
        <f>(C11-F11)^2</f>
        <v/>
      </c>
      <c r="H11" s="10">
        <f>(D11-F11)^2</f>
        <v/>
      </c>
      <c r="I11" s="2" t="inlineStr">
        <is>
          <t>low-conf close</t>
        </is>
      </c>
    </row>
    <row r="12">
      <c r="A12" s="2" t="inlineStr">
        <is>
          <t>2026-07-30</t>
        </is>
      </c>
      <c r="B12" s="2" t="inlineStr">
        <is>
          <t>mlb-2026-07-30-nyy-cws</t>
        </is>
      </c>
      <c r="C12" s="8" t="n">
        <v>0.4317</v>
      </c>
      <c r="D12" s="8" t="n">
        <v>0.5115</v>
      </c>
      <c r="E12" s="9">
        <f>ABS(C12-D12)*100</f>
        <v/>
      </c>
      <c r="F12" s="2" t="n">
        <v>1</v>
      </c>
      <c r="G12" s="10">
        <f>(C12-F12)^2</f>
        <v/>
      </c>
      <c r="H12" s="10">
        <f>(D12-F12)^2</f>
        <v/>
      </c>
      <c r="I12" s="2" t="inlineStr">
        <is>
          <t>date trap</t>
        </is>
      </c>
    </row>
    <row r="13">
      <c r="A13" s="2" t="inlineStr">
        <is>
          <t>2026-07-30</t>
        </is>
      </c>
      <c r="B13" s="2" t="inlineStr">
        <is>
          <t>mlb-2026-07-30-sea-lad</t>
        </is>
      </c>
      <c r="C13" s="8" t="n">
        <v>0.5883</v>
      </c>
      <c r="D13" s="8" t="n">
        <v>0.5934</v>
      </c>
      <c r="E13" s="9">
        <f>ABS(C13-D13)*100</f>
        <v/>
      </c>
      <c r="F13" s="2" t="n">
        <v>1</v>
      </c>
      <c r="G13" s="10">
        <f>(C13-F13)^2</f>
        <v/>
      </c>
      <c r="H13" s="10">
        <f>(D13-F13)^2</f>
        <v/>
      </c>
      <c r="I13" s="2" t="inlineStr">
        <is>
          <t>clean</t>
        </is>
      </c>
    </row>
    <row r="14">
      <c r="A14" s="2" t="inlineStr">
        <is>
          <t>2026-08-01</t>
        </is>
      </c>
      <c r="B14" s="2" t="inlineStr">
        <is>
          <t>mls-2026-08-01-sea-por</t>
        </is>
      </c>
      <c r="C14" s="8" t="n">
        <v>0.4598</v>
      </c>
      <c r="D14" s="8" t="n">
        <v>0.4598</v>
      </c>
      <c r="E14" s="9">
        <f>ABS(C14-D14)*100</f>
        <v/>
      </c>
      <c r="F14" s="2" t="n">
        <v>1</v>
      </c>
      <c r="G14" s="10">
        <f>(C14-F14)^2</f>
        <v/>
      </c>
      <c r="H14" s="10">
        <f>(D14-F14)^2</f>
        <v/>
      </c>
      <c r="I14" s="2" t="inlineStr">
        <is>
          <t>clean</t>
        </is>
      </c>
    </row>
    <row r="15">
      <c r="A15" s="2" t="inlineStr">
        <is>
          <t>2026-08-01</t>
        </is>
      </c>
      <c r="B15" s="2" t="inlineStr">
        <is>
          <t>mlb-2026-08-01-pit-cin</t>
        </is>
      </c>
      <c r="C15" s="8" t="n">
        <v>0.4596</v>
      </c>
      <c r="D15" s="8" t="n">
        <v>0.4736</v>
      </c>
      <c r="E15" s="9">
        <f>ABS(C15-D15)*100</f>
        <v/>
      </c>
      <c r="F15" s="2" t="n">
        <v>0</v>
      </c>
      <c r="G15" s="10">
        <f>(C15-F15)^2</f>
        <v/>
      </c>
      <c r="H15" s="10">
        <f>(D15-F15)^2</f>
        <v/>
      </c>
      <c r="I15" s="2" t="inlineStr">
        <is>
          <t>clean</t>
        </is>
      </c>
    </row>
    <row r="16">
      <c r="A16" s="2" t="inlineStr">
        <is>
          <t>2026-08-01</t>
        </is>
      </c>
      <c r="B16" s="2" t="inlineStr">
        <is>
          <t>mlb-2026-08-01-cws-tb</t>
        </is>
      </c>
      <c r="C16" s="8" t="n">
        <v>0.5645</v>
      </c>
      <c r="D16" s="8" t="n">
        <v>0.6045</v>
      </c>
      <c r="E16" s="9">
        <f>ABS(C16-D16)*100</f>
        <v/>
      </c>
      <c r="F16" s="2" t="n">
        <v>1</v>
      </c>
      <c r="G16" s="10">
        <f>(C16-F16)^2</f>
        <v/>
      </c>
      <c r="H16" s="10">
        <f>(D16-F16)^2</f>
        <v/>
      </c>
      <c r="I16" s="2" t="inlineStr">
        <is>
          <t>clean</t>
        </is>
      </c>
    </row>
    <row r="17">
      <c r="A17" s="2" t="inlineStr">
        <is>
          <t>2026-08-01</t>
        </is>
      </c>
      <c r="B17" s="2" t="inlineStr">
        <is>
          <t>mlb-2026-08-01-mil-laa</t>
        </is>
      </c>
      <c r="C17" s="8" t="n">
        <v>0.4623</v>
      </c>
      <c r="D17" s="8" t="n">
        <v>0.4428</v>
      </c>
      <c r="E17" s="9">
        <f>ABS(C17-D17)*100</f>
        <v/>
      </c>
      <c r="F17" s="2" t="n">
        <v>0</v>
      </c>
      <c r="G17" s="10">
        <f>(C17-F17)^2</f>
        <v/>
      </c>
      <c r="H17" s="10">
        <f>(D17-F17)^2</f>
        <v/>
      </c>
      <c r="I17" s="2" t="inlineStr">
        <is>
          <t>clean</t>
        </is>
      </c>
    </row>
    <row r="18">
      <c r="A18" s="2" t="inlineStr">
        <is>
          <t>2026-08-01</t>
        </is>
      </c>
      <c r="B18" s="2" t="inlineStr">
        <is>
          <t>mlb-2026-08-01-det-ath</t>
        </is>
      </c>
      <c r="C18" s="8" t="n">
        <v>0.4006</v>
      </c>
      <c r="D18" s="8" t="n">
        <v>0.4424</v>
      </c>
      <c r="E18" s="9">
        <f>ABS(C18-D18)*100</f>
        <v/>
      </c>
      <c r="F18" s="2" t="n">
        <v>0</v>
      </c>
      <c r="G18" s="10">
        <f>(C18-F18)^2</f>
        <v/>
      </c>
      <c r="H18" s="10">
        <f>(D18-F18)^2</f>
        <v/>
      </c>
      <c r="I18" s="2" t="inlineStr">
        <is>
          <t>clean</t>
        </is>
      </c>
    </row>
    <row r="19">
      <c r="A19" s="2" t="inlineStr">
        <is>
          <t>2026-08-01</t>
        </is>
      </c>
      <c r="B19" s="2" t="inlineStr">
        <is>
          <t>mlb-2026-08-01-stl-tor</t>
        </is>
      </c>
      <c r="C19" s="8" t="n">
        <v>0.6113</v>
      </c>
      <c r="D19" s="8" t="n">
        <v>0.6116</v>
      </c>
      <c r="E19" s="9">
        <f>ABS(C19-D19)*100</f>
        <v/>
      </c>
      <c r="F19" s="2" t="n">
        <v>1</v>
      </c>
      <c r="G19" s="10">
        <f>(C19-F19)^2</f>
        <v/>
      </c>
      <c r="H19" s="10">
        <f>(D19-F19)^2</f>
        <v/>
      </c>
      <c r="I19" s="2" t="inlineStr">
        <is>
          <t>clean</t>
        </is>
      </c>
    </row>
    <row r="20">
      <c r="A20" s="2" t="inlineStr">
        <is>
          <t>2026-08-01</t>
        </is>
      </c>
      <c r="B20" s="2" t="inlineStr">
        <is>
          <t>mlb-2026-08-01-tex-hou</t>
        </is>
      </c>
      <c r="C20" s="8" t="n">
        <v>0.5454</v>
      </c>
      <c r="D20" s="8" t="n">
        <v>0.4654</v>
      </c>
      <c r="E20" s="9">
        <f>ABS(C20-D20)*100</f>
        <v/>
      </c>
      <c r="F20" s="2" t="n">
        <v>1</v>
      </c>
      <c r="G20" s="10">
        <f>(C20-F20)^2</f>
        <v/>
      </c>
      <c r="H20" s="10">
        <f>(D20-F20)^2</f>
        <v/>
      </c>
      <c r="I20" s="2" t="inlineStr">
        <is>
          <t>clean</t>
        </is>
      </c>
    </row>
    <row r="21">
      <c r="A21" s="2" t="inlineStr">
        <is>
          <t>2026-08-01</t>
        </is>
      </c>
      <c r="B21" s="2" t="inlineStr">
        <is>
          <t>mlb-2026-08-01-mia-nym</t>
        </is>
      </c>
      <c r="C21" s="8" t="n">
        <v>0.5454</v>
      </c>
      <c r="D21" s="8" t="n">
        <v>0.5502</v>
      </c>
      <c r="E21" s="9">
        <f>ABS(C21-D21)*100</f>
        <v/>
      </c>
      <c r="F21" s="2" t="n">
        <v>0</v>
      </c>
      <c r="G21" s="10">
        <f>(C21-F21)^2</f>
        <v/>
      </c>
      <c r="H21" s="10">
        <f>(D21-F21)^2</f>
        <v/>
      </c>
      <c r="I21" s="2" t="inlineStr">
        <is>
          <t>clean</t>
        </is>
      </c>
    </row>
    <row r="22">
      <c r="A22" s="2" t="inlineStr">
        <is>
          <t>2026-08-01</t>
        </is>
      </c>
      <c r="B22" s="2" t="inlineStr">
        <is>
          <t>mlb-2026-08-01-kc-col</t>
        </is>
      </c>
      <c r="C22" s="8" t="n">
        <v>0.5069</v>
      </c>
      <c r="D22" s="8" t="n">
        <v>0.5181</v>
      </c>
      <c r="E22" s="9">
        <f>ABS(C22-D22)*100</f>
        <v/>
      </c>
      <c r="F22" s="2" t="n">
        <v>1</v>
      </c>
      <c r="G22" s="10">
        <f>(C22-F22)^2</f>
        <v/>
      </c>
      <c r="H22" s="10">
        <f>(D22-F22)^2</f>
        <v/>
      </c>
      <c r="I22" s="2" t="inlineStr">
        <is>
          <t>clean</t>
        </is>
      </c>
    </row>
    <row r="23">
      <c r="A23" s="2" t="inlineStr">
        <is>
          <t>2026-08-01</t>
        </is>
      </c>
      <c r="B23" s="2" t="inlineStr">
        <is>
          <t>mlb-2026-08-01-phi-bal</t>
        </is>
      </c>
      <c r="C23" s="8" t="n">
        <v>0.4606</v>
      </c>
      <c r="D23" s="8" t="n">
        <v>0.4309</v>
      </c>
      <c r="E23" s="9">
        <f>ABS(C23-D23)*100</f>
        <v/>
      </c>
      <c r="F23" s="2" t="n">
        <v>0</v>
      </c>
      <c r="G23" s="10">
        <f>(C23-F23)^2</f>
        <v/>
      </c>
      <c r="H23" s="10">
        <f>(D23-F23)^2</f>
        <v/>
      </c>
      <c r="I23" s="2" t="inlineStr">
        <is>
          <t>clean</t>
        </is>
      </c>
    </row>
    <row r="24">
      <c r="A24" s="2" t="inlineStr">
        <is>
          <t>2026-08-01</t>
        </is>
      </c>
      <c r="B24" s="2" t="inlineStr">
        <is>
          <t>wnba-2026-08-01-phx-nyl</t>
        </is>
      </c>
      <c r="C24" s="8" t="n">
        <v>0.5589</v>
      </c>
      <c r="D24" s="8" t="n">
        <v>0.4411</v>
      </c>
      <c r="E24" s="9">
        <f>ABS(C24-D24)*100</f>
        <v/>
      </c>
      <c r="F24" s="2" t="n">
        <v>0</v>
      </c>
      <c r="G24" s="10">
        <f>(C24-F24)^2</f>
        <v/>
      </c>
      <c r="H24" s="10">
        <f>(D24-F24)^2</f>
        <v/>
      </c>
      <c r="I24" s="2" t="inlineStr">
        <is>
          <t>clean</t>
        </is>
      </c>
    </row>
    <row r="25">
      <c r="A25" s="2" t="inlineStr">
        <is>
          <t>2026-08-02</t>
        </is>
      </c>
      <c r="B25" s="2" t="inlineStr">
        <is>
          <t>mlb-2026-08-02-stl-tor</t>
        </is>
      </c>
      <c r="C25" s="8" t="n">
        <v>0.5279</v>
      </c>
      <c r="D25" s="8" t="n">
        <v>0.5294</v>
      </c>
      <c r="E25" s="9">
        <f>ABS(C25-D25)*100</f>
        <v/>
      </c>
      <c r="F25" s="2" t="n">
        <v>0</v>
      </c>
      <c r="G25" s="10">
        <f>(C25-F25)^2</f>
        <v/>
      </c>
      <c r="H25" s="10">
        <f>(D25-F25)^2</f>
        <v/>
      </c>
      <c r="I25" s="2" t="inlineStr">
        <is>
          <t>clean</t>
        </is>
      </c>
    </row>
    <row r="26">
      <c r="A26" s="2" t="inlineStr">
        <is>
          <t>2026-08-02</t>
        </is>
      </c>
      <c r="B26" s="2" t="inlineStr">
        <is>
          <t>mlb-2026-08-02-kc-col</t>
        </is>
      </c>
      <c r="C26" s="8" t="n">
        <v>0.5423</v>
      </c>
      <c r="D26" s="8" t="n">
        <v>0.5454</v>
      </c>
      <c r="E26" s="9">
        <f>ABS(C26-D26)*100</f>
        <v/>
      </c>
      <c r="F26" s="2" t="n">
        <v>1</v>
      </c>
      <c r="G26" s="10">
        <f>(C26-F26)^2</f>
        <v/>
      </c>
      <c r="H26" s="10">
        <f>(D26-F26)^2</f>
        <v/>
      </c>
      <c r="I26" s="2" t="inlineStr">
        <is>
          <t>clean</t>
        </is>
      </c>
    </row>
    <row r="27">
      <c r="A27" s="2" t="inlineStr">
        <is>
          <t>2026-08-02</t>
        </is>
      </c>
      <c r="B27" s="2" t="inlineStr">
        <is>
          <t>mlb-2026-08-02-mil-laa</t>
        </is>
      </c>
      <c r="C27" s="8" t="n">
        <v>0.3168</v>
      </c>
      <c r="D27" s="8" t="n">
        <v>0.3424</v>
      </c>
      <c r="E27" s="9">
        <f>ABS(C27-D27)*100</f>
        <v/>
      </c>
      <c r="F27" s="2" t="n">
        <v>1</v>
      </c>
      <c r="G27" s="10">
        <f>(C27-F27)^2</f>
        <v/>
      </c>
      <c r="H27" s="10">
        <f>(D27-F27)^2</f>
        <v/>
      </c>
      <c r="I27" s="2" t="inlineStr">
        <is>
          <t>clean</t>
        </is>
      </c>
    </row>
    <row r="28">
      <c r="A28" s="2" t="inlineStr">
        <is>
          <t>2026-08-02</t>
        </is>
      </c>
      <c r="B28" s="2" t="inlineStr">
        <is>
          <t>mlb-2026-08-02-nyy-chc</t>
        </is>
      </c>
      <c r="C28" s="8" t="n">
        <v>0.478</v>
      </c>
      <c r="D28" s="8" t="n">
        <v>0.4546</v>
      </c>
      <c r="E28" s="9">
        <f>ABS(C28-D28)*100</f>
        <v/>
      </c>
      <c r="F28" s="2" t="n">
        <v>0</v>
      </c>
      <c r="G28" s="10">
        <f>(C28-F28)^2</f>
        <v/>
      </c>
      <c r="H28" s="10">
        <f>(D28-F28)^2</f>
        <v/>
      </c>
      <c r="I28" s="2" t="inlineStr">
        <is>
          <t>clean</t>
        </is>
      </c>
    </row>
    <row r="29">
      <c r="A29" s="2" t="inlineStr">
        <is>
          <t>2026-08-02</t>
        </is>
      </c>
      <c r="B29" s="2" t="inlineStr">
        <is>
          <t>mlb-2026-08-02-wsh-atl</t>
        </is>
      </c>
      <c r="C29" s="8" t="n">
        <v>0.5492</v>
      </c>
      <c r="D29" s="8" t="n">
        <v>0.5367</v>
      </c>
      <c r="E29" s="9">
        <f>ABS(C29-D29)*100</f>
        <v/>
      </c>
      <c r="F29" s="2" t="n">
        <v>1</v>
      </c>
      <c r="G29" s="10">
        <f>(C29-F29)^2</f>
        <v/>
      </c>
      <c r="H29" s="10">
        <f>(D29-F29)^2</f>
        <v/>
      </c>
      <c r="I29" s="2" t="inlineStr">
        <is>
          <t>clean</t>
        </is>
      </c>
    </row>
    <row r="30">
      <c r="A30" s="2" t="inlineStr">
        <is>
          <t>2026-08-02</t>
        </is>
      </c>
      <c r="B30" s="2" t="inlineStr">
        <is>
          <t>mlb-2026-08-02-az-cle</t>
        </is>
      </c>
      <c r="C30" s="8" t="n">
        <v>0.5821</v>
      </c>
      <c r="D30" s="8" t="n">
        <v>0.5821</v>
      </c>
      <c r="E30" s="9">
        <f>ABS(C30-D30)*100</f>
        <v/>
      </c>
      <c r="F30" s="2" t="n">
        <v>1</v>
      </c>
      <c r="G30" s="10">
        <f>(C30-F30)^2</f>
        <v/>
      </c>
      <c r="H30" s="10">
        <f>(D30-F30)^2</f>
        <v/>
      </c>
      <c r="I30" s="2" t="inlineStr">
        <is>
          <t>clean</t>
        </is>
      </c>
    </row>
    <row r="31">
      <c r="A31" s="2" t="inlineStr">
        <is>
          <t>2026-08-02</t>
        </is>
      </c>
      <c r="B31" s="2" t="inlineStr">
        <is>
          <t>wnba-2026-08-02-la-por</t>
        </is>
      </c>
      <c r="C31" s="8" t="n">
        <v>0.5177</v>
      </c>
      <c r="D31" s="8" t="n">
        <v>0.5233</v>
      </c>
      <c r="E31" s="9">
        <f>ABS(C31-D31)*100</f>
        <v/>
      </c>
      <c r="F31" s="2" t="n">
        <v>0</v>
      </c>
      <c r="G31" s="10">
        <f>(C31-F31)^2</f>
        <v/>
      </c>
      <c r="H31" s="10">
        <f>(D31-F31)^2</f>
        <v/>
      </c>
      <c r="I31" s="2" t="inlineStr">
        <is>
          <t>clean</t>
        </is>
      </c>
    </row>
    <row r="32">
      <c r="A32" s="2" t="inlineStr">
        <is>
          <t>2026-08-02</t>
        </is>
      </c>
      <c r="B32" s="2" t="inlineStr">
        <is>
          <t>wta-2026-08-02-rakhimova-williams</t>
        </is>
      </c>
      <c r="C32" s="8" t="n">
        <v>0.2195</v>
      </c>
      <c r="D32" s="8" t="n">
        <v>0.2176</v>
      </c>
      <c r="E32" s="9">
        <f>ABS(C32-D32)*100</f>
        <v/>
      </c>
      <c r="F32" s="2" t="n">
        <v>0</v>
      </c>
      <c r="G32" s="10">
        <f>(C32-F32)^2</f>
        <v/>
      </c>
      <c r="H32" s="10">
        <f>(D32-F32)^2</f>
        <v/>
      </c>
      <c r="I32" s="2" t="inlineStr">
        <is>
          <t>clean</t>
        </is>
      </c>
    </row>
    <row r="33">
      <c r="A33" s="2" t="inlineStr">
        <is>
          <t>2026-08-02</t>
        </is>
      </c>
      <c r="B33" s="2" t="inlineStr">
        <is>
          <t>mlb-2026-08-02-det-ath</t>
        </is>
      </c>
      <c r="C33" s="8" t="n">
        <v>0.4313</v>
      </c>
      <c r="D33" s="8" t="n">
        <v>0.4547</v>
      </c>
      <c r="E33" s="9">
        <f>ABS(C33-D33)*100</f>
        <v/>
      </c>
      <c r="F33" s="2" t="n">
        <v>0</v>
      </c>
      <c r="G33" s="10">
        <f>(C33-F33)^2</f>
        <v/>
      </c>
      <c r="H33" s="10">
        <f>(D33-F33)^2</f>
        <v/>
      </c>
      <c r="I33" s="2" t="inlineStr">
        <is>
          <t>clean</t>
        </is>
      </c>
    </row>
    <row r="34">
      <c r="A34" s="2" t="inlineStr">
        <is>
          <t>2026-08-02</t>
        </is>
      </c>
      <c r="B34" s="2" t="inlineStr">
        <is>
          <t>mlb-2026-08-02-sfg-sdp</t>
        </is>
      </c>
      <c r="C34" s="8" t="n">
        <v>0.5951</v>
      </c>
      <c r="D34" s="8" t="n">
        <v>0.5815</v>
      </c>
      <c r="E34" s="9">
        <f>ABS(C34-D34)*100</f>
        <v/>
      </c>
      <c r="F34" s="2" t="n">
        <v>1</v>
      </c>
      <c r="G34" s="10">
        <f>(C34-F34)^2</f>
        <v/>
      </c>
      <c r="H34" s="10">
        <f>(D34-F34)^2</f>
        <v/>
      </c>
      <c r="I34" s="2" t="inlineStr">
        <is>
          <t>clean</t>
        </is>
      </c>
    </row>
    <row r="35">
      <c r="A35" s="2" t="inlineStr">
        <is>
          <t>2026-08-02</t>
        </is>
      </c>
      <c r="B35" s="2" t="inlineStr">
        <is>
          <t>mlb-2026-08-02-min-sea</t>
        </is>
      </c>
      <c r="C35" s="8" t="n">
        <v>0.5620000000000001</v>
      </c>
      <c r="D35" s="8" t="n">
        <v>0.5629999999999999</v>
      </c>
      <c r="E35" s="9">
        <f>ABS(C35-D35)*100</f>
        <v/>
      </c>
      <c r="F35" s="2" t="n">
        <v>1</v>
      </c>
      <c r="G35" s="10">
        <f>(C35-F35)^2</f>
        <v/>
      </c>
      <c r="H35" s="10">
        <f>(D35-F35)^2</f>
        <v/>
      </c>
      <c r="I35" s="2" t="inlineStr">
        <is>
          <t>clean</t>
        </is>
      </c>
    </row>
    <row r="36">
      <c r="A36" s="2" t="inlineStr">
        <is>
          <t>2026-08-02</t>
        </is>
      </c>
      <c r="B36" s="2" t="inlineStr">
        <is>
          <t>mlb-2026-08-02-bos-lad</t>
        </is>
      </c>
      <c r="C36" s="8" t="n">
        <v>0.6151</v>
      </c>
      <c r="D36" s="8" t="n">
        <v>0.6287</v>
      </c>
      <c r="E36" s="9">
        <f>ABS(C36-D36)*100</f>
        <v/>
      </c>
      <c r="F36" s="2" t="n">
        <v>0</v>
      </c>
      <c r="G36" s="10">
        <f>(C36-F36)^2</f>
        <v/>
      </c>
      <c r="H36" s="10">
        <f>(D36-F36)^2</f>
        <v/>
      </c>
      <c r="I36" s="2" t="inlineStr">
        <is>
          <t>clean</t>
        </is>
      </c>
    </row>
    <row r="37">
      <c r="A37" s="2" t="inlineStr">
        <is>
          <t>2026-08-02</t>
        </is>
      </c>
      <c r="B37" s="2" t="inlineStr">
        <is>
          <t>atp-2026-08-02-berrettini-navone</t>
        </is>
      </c>
      <c r="C37" s="8" t="n">
        <v>0.3522</v>
      </c>
      <c r="D37" s="8" t="n">
        <v>0.358</v>
      </c>
      <c r="E37" s="9">
        <f>ABS(C37-D37)*100</f>
        <v/>
      </c>
      <c r="F37" s="2" t="n">
        <v>1</v>
      </c>
      <c r="G37" s="10">
        <f>(C37-F37)^2</f>
        <v/>
      </c>
      <c r="H37" s="10">
        <f>(D37-F37)^2</f>
        <v/>
      </c>
      <c r="I37" s="2" t="inlineStr">
        <is>
          <t>clean</t>
        </is>
      </c>
    </row>
    <row r="38">
      <c r="A38" s="2" t="inlineStr">
        <is>
          <t>2026-08-02</t>
        </is>
      </c>
      <c r="B38" s="2" t="inlineStr">
        <is>
          <t>wta-2026-08-02-bartunkova-andreescu</t>
        </is>
      </c>
      <c r="C38" s="8" t="n">
        <v>0.416</v>
      </c>
      <c r="D38" s="8" t="n">
        <v>0.4042</v>
      </c>
      <c r="E38" s="9">
        <f>ABS(C38-D38)*100</f>
        <v/>
      </c>
      <c r="F38" s="2" t="n">
        <v>0</v>
      </c>
      <c r="G38" s="10">
        <f>(C38-F38)^2</f>
        <v/>
      </c>
      <c r="H38" s="10">
        <f>(D38-F38)^2</f>
        <v/>
      </c>
      <c r="I38" s="2" t="inlineStr">
        <is>
          <t>clean</t>
        </is>
      </c>
    </row>
    <row r="39">
      <c r="A39" s="2" t="inlineStr">
        <is>
          <t>2026-08-02</t>
        </is>
      </c>
      <c r="B39" s="2" t="inlineStr">
        <is>
          <t>ligamx-2026-08-02-san-ame</t>
        </is>
      </c>
      <c r="C39" s="8" t="n">
        <v>0.6858</v>
      </c>
      <c r="D39" s="8" t="n">
        <v>0.6949</v>
      </c>
      <c r="E39" s="9">
        <f>ABS(C39-D39)*100</f>
        <v/>
      </c>
      <c r="F39" s="2" t="n">
        <v>1</v>
      </c>
      <c r="G39" s="10">
        <f>(C39-F39)^2</f>
        <v/>
      </c>
      <c r="H39" s="10">
        <f>(D39-F39)^2</f>
        <v/>
      </c>
      <c r="I39" s="2" t="inlineStr">
        <is>
          <t>clean</t>
        </is>
      </c>
    </row>
    <row r="40">
      <c r="A40" s="2" t="inlineStr">
        <is>
          <t>2026-08-02</t>
        </is>
      </c>
      <c r="B40" s="2" t="inlineStr">
        <is>
          <t>cdb-2026-08-02-cru-cha</t>
        </is>
      </c>
      <c r="C40" s="8" t="n">
        <v>0.2043</v>
      </c>
      <c r="D40" s="8" t="n">
        <v>0.2275</v>
      </c>
      <c r="E40" s="9">
        <f>ABS(C40-D40)*100</f>
        <v/>
      </c>
      <c r="F40" s="2" t="n">
        <v>0</v>
      </c>
      <c r="G40" s="10">
        <f>(C40-F40)^2</f>
        <v/>
      </c>
      <c r="H40" s="10">
        <f>(D40-F40)^2</f>
        <v/>
      </c>
      <c r="I40" s="2" t="inlineStr">
        <is>
          <t>clean</t>
        </is>
      </c>
    </row>
    <row r="41">
      <c r="A41" s="2" t="inlineStr">
        <is>
          <t>2026-08-02</t>
        </is>
      </c>
      <c r="B41" s="2" t="inlineStr">
        <is>
          <t>cdb-2026-08-02-cor-int</t>
        </is>
      </c>
      <c r="C41" s="8" t="n">
        <v>0.4424</v>
      </c>
      <c r="D41" s="8" t="n">
        <v>0.4312</v>
      </c>
      <c r="E41" s="9">
        <f>ABS(C41-D41)*100</f>
        <v/>
      </c>
      <c r="F41" s="2" t="n">
        <v>1</v>
      </c>
      <c r="G41" s="10">
        <f>(C41-F41)^2</f>
        <v/>
      </c>
      <c r="H41" s="10">
        <f>(D41-F41)^2</f>
        <v/>
      </c>
      <c r="I41" s="2" t="inlineStr">
        <is>
          <t>clean</t>
        </is>
      </c>
    </row>
    <row r="42">
      <c r="A42" s="2" t="inlineStr">
        <is>
          <t>2026-08-03</t>
        </is>
      </c>
      <c r="B42" s="2" t="inlineStr">
        <is>
          <t>mlb-2026-08-03-stl-nyy</t>
        </is>
      </c>
      <c r="C42" s="8" t="n">
        <v>0.641</v>
      </c>
      <c r="D42" s="8" t="n">
        <v>0.6561</v>
      </c>
      <c r="E42" s="9">
        <f>ABS(C42-D42)*100</f>
        <v/>
      </c>
      <c r="F42" s="2" t="n">
        <v>0</v>
      </c>
      <c r="G42" s="10">
        <f>(C42-F42)^2</f>
        <v/>
      </c>
      <c r="H42" s="10">
        <f>(D42-F42)^2</f>
        <v/>
      </c>
      <c r="I42" s="2" t="inlineStr">
        <is>
          <t>clean</t>
        </is>
      </c>
    </row>
    <row r="43">
      <c r="A43" s="2" t="inlineStr">
        <is>
          <t>2026-08-03</t>
        </is>
      </c>
      <c r="B43" s="2" t="inlineStr">
        <is>
          <t>mlb-2026-08-03-wsh-phi</t>
        </is>
      </c>
      <c r="C43" s="8" t="n">
        <v>0.5744</v>
      </c>
      <c r="D43" s="8" t="n">
        <v>0.5899</v>
      </c>
      <c r="E43" s="9">
        <f>ABS(C43-D43)*100</f>
        <v/>
      </c>
      <c r="F43" s="2" t="n">
        <v>1</v>
      </c>
      <c r="G43" s="10">
        <f>(C43-F43)^2</f>
        <v/>
      </c>
      <c r="H43" s="10">
        <f>(D43-F43)^2</f>
        <v/>
      </c>
      <c r="I43" s="2" t="inlineStr">
        <is>
          <t>clean</t>
        </is>
      </c>
    </row>
    <row r="44">
      <c r="A44" s="2" t="inlineStr">
        <is>
          <t>2026-08-03</t>
        </is>
      </c>
      <c r="B44" s="2" t="inlineStr">
        <is>
          <t>mlb-2026-08-03-lad-chc</t>
        </is>
      </c>
      <c r="C44" s="8" t="n">
        <v>0.4597</v>
      </c>
      <c r="D44" s="8" t="n">
        <v>0.4631</v>
      </c>
      <c r="E44" s="9">
        <f>ABS(C44-D44)*100</f>
        <v/>
      </c>
      <c r="F44" s="2" t="n">
        <v>1</v>
      </c>
      <c r="G44" s="10">
        <f>(C44-F44)^2</f>
        <v/>
      </c>
      <c r="H44" s="10">
        <f>(D44-F44)^2</f>
        <v/>
      </c>
      <c r="I44" s="2" t="inlineStr">
        <is>
          <t>clean</t>
        </is>
      </c>
    </row>
    <row r="45">
      <c r="A45" s="2" t="inlineStr">
        <is>
          <t>2026-08-03</t>
        </is>
      </c>
      <c r="B45" s="2" t="inlineStr">
        <is>
          <t>mlb-2026-08-03-sfg-tex</t>
        </is>
      </c>
      <c r="C45" s="8" t="n">
        <v>0.5049</v>
      </c>
      <c r="D45" s="8" t="n">
        <v>0.5091</v>
      </c>
      <c r="E45" s="9">
        <f>ABS(C45-D45)*100</f>
        <v/>
      </c>
      <c r="F45" s="2" t="n">
        <v>0</v>
      </c>
      <c r="G45" s="10">
        <f>(C45-F45)^2</f>
        <v/>
      </c>
      <c r="H45" s="10">
        <f>(D45-F45)^2</f>
        <v/>
      </c>
      <c r="I45" s="2" t="inlineStr">
        <is>
          <t>clean</t>
        </is>
      </c>
    </row>
    <row r="46">
      <c r="A46" s="2" t="inlineStr">
        <is>
          <t>2026-08-03</t>
        </is>
      </c>
      <c r="B46" s="2" t="inlineStr">
        <is>
          <t>mlb-2026-08-03-tb-col</t>
        </is>
      </c>
      <c r="C46" s="8" t="n">
        <v>0.3991</v>
      </c>
      <c r="D46" s="8" t="n">
        <v>0.3963</v>
      </c>
      <c r="E46" s="9">
        <f>ABS(C46-D46)*100</f>
        <v/>
      </c>
      <c r="F46" s="2" t="n">
        <v>0</v>
      </c>
      <c r="G46" s="10">
        <f>(C46-F46)^2</f>
        <v/>
      </c>
      <c r="H46" s="10">
        <f>(D46-F46)^2</f>
        <v/>
      </c>
      <c r="I46" s="2" t="inlineStr">
        <is>
          <t>clean</t>
        </is>
      </c>
    </row>
    <row r="47">
      <c r="A47" s="2" t="inlineStr">
        <is>
          <t>2026-08-03</t>
        </is>
      </c>
      <c r="B47" s="2" t="inlineStr">
        <is>
          <t>wnba-2026-08-03-sea-nyl</t>
        </is>
      </c>
      <c r="C47" s="8" t="n">
        <v>0.8017</v>
      </c>
      <c r="D47" s="8" t="n">
        <v>0.7405</v>
      </c>
      <c r="E47" s="9">
        <f>ABS(C47-D47)*100</f>
        <v/>
      </c>
      <c r="F47" s="2" t="n">
        <v>1</v>
      </c>
      <c r="G47" s="10">
        <f>(C47-F47)^2</f>
        <v/>
      </c>
      <c r="H47" s="10">
        <f>(D47-F47)^2</f>
        <v/>
      </c>
      <c r="I47" s="2" t="inlineStr">
        <is>
          <t>clean</t>
        </is>
      </c>
    </row>
    <row r="48">
      <c r="A48" s="2" t="inlineStr">
        <is>
          <t>2026-08-03</t>
        </is>
      </c>
      <c r="B48" s="2" t="inlineStr">
        <is>
          <t>arg-2026-08-03-ind-vel</t>
        </is>
      </c>
      <c r="C48" s="8" t="n">
        <v>0.3919</v>
      </c>
      <c r="D48" s="8" t="n">
        <v>0.3751</v>
      </c>
      <c r="E48" s="9">
        <f>ABS(C48-D48)*100</f>
        <v/>
      </c>
      <c r="F48" s="2" t="n">
        <v>1</v>
      </c>
      <c r="G48" s="10">
        <f>(C48-F48)^2</f>
        <v/>
      </c>
      <c r="H48" s="10">
        <f>(D48-F48)^2</f>
        <v/>
      </c>
      <c r="I48" s="2" t="inlineStr">
        <is>
          <t>clean</t>
        </is>
      </c>
    </row>
    <row r="49">
      <c r="A49" s="2" t="inlineStr">
        <is>
          <t>2026-08-03</t>
        </is>
      </c>
      <c r="B49" s="2" t="inlineStr">
        <is>
          <t>arg-2026-08-03-tal-pla</t>
        </is>
      </c>
      <c r="C49" s="8" t="n">
        <v>0.3776</v>
      </c>
      <c r="D49" s="8" t="n">
        <v>0.3776</v>
      </c>
      <c r="E49" s="9">
        <f>ABS(C49-D49)*100</f>
        <v/>
      </c>
      <c r="F49" s="2" t="n">
        <v>0</v>
      </c>
      <c r="G49" s="10">
        <f>(C49-F49)^2</f>
        <v/>
      </c>
      <c r="H49" s="10">
        <f>(D49-F49)^2</f>
        <v/>
      </c>
      <c r="I49" s="2" t="inlineStr">
        <is>
          <t>clean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</cols>
  <sheetData>
    <row r="1">
      <c r="A1" s="11" t="inlineStr">
        <is>
          <t>SharpOds Tracker — Dashboard</t>
        </is>
      </c>
    </row>
    <row r="2">
      <c r="A2" s="12" t="inlineStr">
        <is>
          <t>Every value below is a formula over Bets/FairLines: add or settle rows there and this sheet recomputes.</t>
        </is>
      </c>
    </row>
    <row r="5">
      <c r="A5" s="13" t="inlineStr">
        <is>
          <t>Tickets settled</t>
        </is>
      </c>
      <c r="B5" s="14">
        <f>COUNTIFS(Bets!D:D,"ticket",Bets!H:H,"&lt;&gt;pending")</f>
        <v/>
      </c>
    </row>
    <row r="6">
      <c r="A6" s="13" t="inlineStr">
        <is>
          <t>Ticket wins</t>
        </is>
      </c>
      <c r="B6" s="14">
        <f>COUNTIFS(Bets!D:D,"ticket",Bets!H:H,"won")</f>
        <v/>
      </c>
    </row>
    <row r="7">
      <c r="A7" s="13" t="inlineStr">
        <is>
          <t>Win rate</t>
        </is>
      </c>
      <c r="B7" s="15">
        <f>IFERROR(B6/B5,0)</f>
        <v/>
      </c>
    </row>
    <row r="8">
      <c r="A8" s="13" t="inlineStr">
        <is>
          <t>Total staked</t>
        </is>
      </c>
      <c r="B8" s="16">
        <f>SUMIFS(Bets!G:G,Bets!D:D,"ticket",Bets!H:H,"&lt;&gt;pending")</f>
        <v/>
      </c>
    </row>
    <row r="9">
      <c r="A9" s="13" t="inlineStr">
        <is>
          <t>Net P&amp;L</t>
        </is>
      </c>
      <c r="B9" s="17">
        <f>SUM(Bets!I:I)</f>
        <v/>
      </c>
    </row>
    <row r="10">
      <c r="A10" s="13" t="inlineStr">
        <is>
          <t>ROI on stakes</t>
        </is>
      </c>
      <c r="B10" s="15">
        <f>IFERROR(B9/B8,0)</f>
        <v/>
      </c>
    </row>
    <row r="11">
      <c r="A11" s="13" t="inlineStr">
        <is>
          <t>Mean CLV (no-vig), tickets</t>
        </is>
      </c>
      <c r="B11" s="15">
        <f>IFERROR(AVERAGEIFS(Bets!K:K,Bets!D:D,"ticket"),0)</f>
        <v/>
      </c>
    </row>
    <row r="12">
      <c r="A12" s="13" t="inlineStr">
        <is>
          <t>Limit orders unfilled</t>
        </is>
      </c>
      <c r="B12" s="14">
        <f>COUNTIF(Bets!D:D,"order_unfilled")</f>
        <v/>
      </c>
    </row>
    <row r="13">
      <c r="A13" s="13" t="inlineStr">
        <is>
          <t>Open orders / pending</t>
        </is>
      </c>
      <c r="B13" s="14">
        <f>COUNTIF(Bets!H:H,"pending")</f>
        <v/>
      </c>
    </row>
    <row r="14">
      <c r="A14" s="13" t="inlineStr">
        <is>
          <t>Decisions settled</t>
        </is>
      </c>
      <c r="B14" s="14">
        <f>COUNTIF(Bets!M:M,"worked")+COUNTIF(Bets!M:M,"miss")</f>
        <v/>
      </c>
    </row>
    <row r="15">
      <c r="A15" s="13" t="inlineStr">
        <is>
          <t>Process validated (worked)</t>
        </is>
      </c>
      <c r="B15" s="14">
        <f>COUNTIF(Bets!M:M,"worked")</f>
        <v/>
      </c>
    </row>
    <row r="16">
      <c r="A16" s="13" t="inlineStr">
        <is>
          <t>Process misses</t>
        </is>
      </c>
      <c r="B16" s="14">
        <f>COUNTIF(Bets!M:M,"miss")</f>
        <v/>
      </c>
    </row>
    <row r="17">
      <c r="A17" s="13" t="inlineStr">
        <is>
          <t>Fair lines graded</t>
        </is>
      </c>
      <c r="B17" s="14">
        <f>COUNT(FairLines!E:E)</f>
        <v/>
      </c>
    </row>
    <row r="18">
      <c r="A18" s="13" t="inlineStr">
        <is>
          <t>Mean |fair − close| (pts)</t>
        </is>
      </c>
      <c r="B18" s="18">
        <f>IFERROR(AVERAGE(FairLines!E:E),0)</f>
        <v/>
      </c>
    </row>
    <row r="19">
      <c r="A19" s="13" t="inlineStr">
        <is>
          <t>Max |fair − close| (pts)</t>
        </is>
      </c>
      <c r="B19" s="18">
        <f>IFERROR(MAX(FairLines!E:E),0)</f>
        <v/>
      </c>
    </row>
    <row r="20">
      <c r="A20" s="13" t="inlineStr">
        <is>
          <t>Clean-source mean error (pts)</t>
        </is>
      </c>
      <c r="B20" s="18">
        <f>IFERROR(AVERAGEIFS(FairLines!E:E,FairLines!I:I,"clean"),0)</f>
        <v/>
      </c>
    </row>
    <row r="21">
      <c r="A21" s="13" t="inlineStr">
        <is>
          <t>Flagged-source mean error (pts)</t>
        </is>
      </c>
      <c r="B21" s="18">
        <f>IFERROR(AVERAGEIFS(FairLines!E:E,FairLines!I:I,"&lt;&gt;clean"),0)</f>
        <v/>
      </c>
    </row>
    <row r="22">
      <c r="A22" s="13" t="inlineStr">
        <is>
          <t>Brier — SharpOds fair</t>
        </is>
      </c>
      <c r="B22" s="19">
        <f>IFERROR(AVERAGE(FairLines!G:G),0)</f>
        <v/>
      </c>
    </row>
    <row r="23">
      <c r="A23" s="13" t="inlineStr">
        <is>
          <t>Brier — closing line</t>
        </is>
      </c>
      <c r="B23" s="19">
        <f>IFERROR(AVERAGE(FairLines!H:H),0)</f>
        <v/>
      </c>
    </row>
    <row r="24">
      <c r="A24" s="13" t="inlineStr">
        <is>
          <t>Brier — coin flip (reference)</t>
        </is>
      </c>
      <c r="B24" s="19">
        <f>0.25</f>
        <v/>
      </c>
    </row>
    <row r="27">
      <c r="A27" s="20" t="inlineStr">
        <is>
          <t>What worked / what didn't (from the decision log)</t>
        </is>
      </c>
    </row>
    <row r="28">
      <c r="A28" s="21" t="inlineStr">
        <is>
          <t>[WORKED] Full 5-game slate: Favorites went 2-3; both most-likely sides blew 6+ run leads; every listed price was -EV vs fair (avg -3.3%). Passing saved money.</t>
        </is>
      </c>
    </row>
    <row r="29">
      <c r="A29" s="21" t="inlineStr">
        <is>
          <t>[WORKED] BAL @ DET: Line closed 1.56-1.59, moving away; discipline held. Tigers lost 9-10 in 12 - a chased fill would have lost.</t>
        </is>
      </c>
    </row>
    <row r="30">
      <c r="A30" s="21" t="inlineStr">
        <is>
          <t>[WORKED] CHC @ STL: Labeled unverified staleness and not executed; the close proved it was quote drift, not free money.</t>
        </is>
      </c>
    </row>
    <row r="31">
      <c r="A31" s="21" t="inlineStr">
        <is>
          <t>[WORKED] NYY @ CHC: Close CHC -140 landed on the sportsbook consensus; Polymarket 52c was the stale outlier (NYY won 2-0 as a +130 dog - vs the close that bet was -7% EV luck). Refusal correct.</t>
        </is>
      </c>
    </row>
    <row r="32">
      <c r="A32" s="21" t="inlineStr">
        <is>
          <t>[WORKED] PHI @ BAL: PHI never traded above 2.06 (target 2.10). Close no-vig PHI 0.467: even at target the bet was -2% vs close - not filling saved money. SportsGrid model lean (PHI 54%) was the wrong side per the close.</t>
        </is>
      </c>
    </row>
    <row r="33">
      <c r="A33" s="21" t="inlineStr">
        <is>
          <t>[WORKED] PIT @ CIN: PIT -120 to -136 all day, never near the 1.966 target. Close no-vig PIT 0.564: a 1.966 fill would have been ~+11% EV vs close - right side, market never paid the price.</t>
        </is>
      </c>
    </row>
    <row r="34">
      <c r="A34" s="21" t="inlineStr">
        <is>
          <t>[WORKED] PIT @ CIN: CIN never traded above +106 (2.06) - 17 cents short of the 2.231 bar; the '+120 one source' quote was never corroborated. CIN lost 1-4, so no fill dodged a loss; vs the no-vig close a 2.231 fill would still have been +EV (right side, market never paid).</t>
        </is>
      </c>
    </row>
    <row r="35">
      <c r="A35" s="21" t="inlineStr">
        <is>
          <t>[WORKED] NYY @ CHC: Refusal correct, with a twist: the close landed NYY road-favorite (-122 to -132; CHC +102/+105) - the OPPOSITE of our 'books CHC 1.62' quote, which no closing book corroborates. That quote was stale/wrong (flagged for provenance). Polymarket NYY 54c was actually the consensus side. CHC won 5-2 anyway - neither side's value story survived. Conflict rule worked for the right reason: garbage inputs were refused, not priced.</t>
        </is>
      </c>
    </row>
    <row r="36">
      <c r="A36" s="21" t="inlineStr">
        <is>
          <t>[WORKED] WSH @ ATL: Braves 8-3. Polymarket-only board stayed unpriced per the 0.45-sharpness demotion; no book close collected for this game.</t>
        </is>
      </c>
    </row>
    <row r="37">
      <c r="A37" s="21" t="inlineStr">
        <is>
          <t>[WORKED] PHI @ BAL: Fill ambiguous: consensus close +119 (2.19) never reached the 2.225 bar, but SportsGrid reported 'BAL +125 at other books' pregame, which would have filled. Graded no-fill on the consensus board we price from. BAL lost 0-5, so neither grading forfeits a win; a phantom fill would have lost. Single-book-anchor caveat from pre-registration stands.</t>
        </is>
      </c>
    </row>
    <row r="38">
      <c r="A38" s="21" t="inlineStr">
        <is>
          <t>[WORKED] SEA @ POR (MLS): NO BET - user report (the only fill oracle; pages 403 post-hoc): the prediction-market ask had moved above the 45c stand-down line (engine minimum 2.23) by bet time, so per the slip's own fill rule the order did not fire. Paper grade of the 2.273 listed snapshot: Portland won 2-1 and the number beat the bet365 close 2.05/3.80/3.00 by +10.9% raw / +4.5% no-vig - the edge was real at the snapshot, and it decayed before execution. Standing down was correct: at the moved ask the +2.5% EV bar was no longer met.</t>
        </is>
      </c>
    </row>
    <row r="39">
      <c r="A39" s="21" t="inlineStr">
        <is>
          <t>[WORKED] PIT @ CIN: Refusal validated on PROCESS: the book-vs-Polymarket gap (CIN 1.676 vs 55c) never visibly converged before first pitch - the market stayed unpriceable by our rule at every observable snapshot. CIN won 10-2 (Burns 6 IP 9 K) and the close landed -148, but outcome isn't the verdict; the conflict rule is now 4-for-4 on process. Pre-registered under the conflict rule, graded at the close.</t>
        </is>
      </c>
    </row>
    <row r="40">
      <c r="A40" s="21" t="inlineStr">
        <is>
          <t>[WORKED] STL @ NYY (7:05 PM ET Mon): NOT FILLED - and saved by it. Every dated Monday price moved AWAY from the 1.599 trigger (NYY -186 Sunday -&gt; -195/-210/-217/-235 across books at close); then NYY lost 7-13 (Burleson 3 HR off Schlittler). Our fair (64.1%) sat above a close (~65%) that the result embarrassed - calibration fine, outcome brutal, order discipline kept the stake at zero.</t>
        </is>
      </c>
    </row>
    <row r="41">
      <c r="A41" s="21" t="inlineStr">
        <is>
          <t>[WORKED] SFG @ TEX (8:05 PM ET Mon): NOT FILLED - TEX never reached plus-money (observed -105 to -125 across books; +103 trigger unreached), then lost 1-5 with five errors behind Webb's 6 shutout IP. Second unfilled loser dodged on the day.</t>
        </is>
      </c>
    </row>
    <row r="42">
      <c r="A42" s="21" t="inlineStr">
        <is>
          <t>[WORKED] SDP @ AZ (9:40 PM ET Mon): Rejection fully validated: the real Monday market was near pick'em with ARI a slight HOME favorite (BetMGM/DK SDP -102 / ARI -118; Yahoo -113) - the garbled 'SD -185/ARI +737' board was wrong on side AND magnitude. ARI won 5-1. Garbage in, nothing out: correct.</t>
        </is>
      </c>
    </row>
    <row r="43">
      <c r="A43" s="21" t="inlineStr">
        <is>
          <t>[DIDN'T] CHC @ STL: Cashed on variance: close (CHC +100/STL -120, sharp money on STL) says the edge was not there. Fair missed the no-vig close by 3.7pts on a source-conflict market -&gt; conflict-refusal rule shipped.</t>
        </is>
      </c>
    </row>
    <row r="44">
      <c r="A44" s="21" t="inlineStr">
        <is>
          <t>[DIDN'T] WSH @ ATL: VOID - PROCESS MISS (user report): the card shipped hours after this game's 1:35 PM ET first pitch. The container clock read Sunday evening; I overrode it because search snippets showed no Sunday finals - but a lagging search index is not pre-game proof. Order was never actionable; no bet placed, none should be. Original order terms preserved above for the record; outcome deliberately NOT graded (no hindsight grading of a void order).</t>
        </is>
      </c>
    </row>
    <row r="45">
      <c r="A45" s="21" t="inlineStr">
        <is>
          <t>[DIDN'T] BOS @ LAD (Sunday Night Baseball): VOID - cancelled at 7:03 PM ET with first pitch 7:20 PM ET: no time to re-verify the line, and every price on the card is a morning-stale snapshot. An unsupervisable order is not an order.</t>
        </is>
      </c>
    </row>
    <row r="46">
      <c r="A46" s="21" t="inlineStr">
        <is>
          <t>[DIDN'T] MIA @ NYM: VOID - shipped after the 1:40 PM ET first pitch (same process miss as the headline order). No bet placed, none should be.</t>
        </is>
      </c>
    </row>
    <row r="47">
      <c r="A47" s="21" t="inlineStr">
        <is>
          <t>[DIDN'T] Calibration: flagged-source fair lines (conflict / date trap / low-confidence close) missed the no-vig close by 4.93 pts on average vs 1.66 pts for clean sources — source hygiene IS calibration.</t>
        </is>
      </c>
    </row>
    <row r="49">
      <c r="A49" s="22" t="inlineStr">
        <is>
          <t>Source: data/track_record.json (SharpOds ledger); regenerated by `sharpods-tracker`. Assumption: closing lines are best-available day-of published numbers, not exchange-verified closing ticks.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2026-08-06T01:00:13Z</dcterms:created>
  <dcterms:modified xsi:type="dcterms:W3CDTF">2026-08-06T01:00:13Z</dcterms:modified>
</cp:coreProperties>
</file>