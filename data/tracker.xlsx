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s" sheetId="1" state="visible" r:id="rId1"/>
    <sheet name="FairLines" sheetId="2" state="visible" r:id="rId2"/>
    <sheet name="Dashboard" sheetId="3" state="visible" r:id="rId3"/>
  </sheets>
  <definedNames/>
  <calcPr calcId="124519" fullCalcOnLoad="1"/>
</workbook>
</file>

<file path=xl/styles.xml><?xml version="1.0" encoding="utf-8"?>
<styleSheet xmlns="http://schemas.openxmlformats.org/spreadsheetml/2006/main">
  <numFmts count="5">
    <numFmt numFmtId="164" formatCode="0.000"/>
    <numFmt numFmtId="165" formatCode="$#,##0"/>
    <numFmt numFmtId="166" formatCode="$#,##0;($#,##0);-"/>
    <numFmt numFmtId="167" formatCode="0.0%"/>
    <numFmt numFmtId="168" formatCode="0.0000"/>
  </numFmts>
  <fonts count="10">
    <font>
      <name val="Calibri"/>
      <family val="2"/>
      <color theme="1"/>
      <sz val="11"/>
      <scheme val="minor"/>
    </font>
    <font>
      <name val="Arial"/>
      <b val="1"/>
      <sz val="10"/>
    </font>
    <font>
      <name val="Arial"/>
      <color rgb="FF0000FF"/>
      <sz val="10"/>
    </font>
    <font>
      <name val="Arial"/>
      <i val="1"/>
      <sz val="9"/>
    </font>
    <font>
      <name val="Arial"/>
      <sz val="10"/>
    </font>
    <font>
      <name val="Arial"/>
      <b val="1"/>
      <sz val="14"/>
    </font>
    <font>
      <name val="Arial"/>
      <b val="1"/>
      <color rgb="FF000000"/>
      <sz val="10"/>
    </font>
    <font>
      <name val="Arial"/>
      <b val="1"/>
      <sz val="11"/>
    </font>
    <font>
      <name val="Arial"/>
      <sz val="9"/>
    </font>
    <font>
      <name val="Arial"/>
      <i val="1"/>
      <sz val="8"/>
    </font>
  </fonts>
  <fills count="3">
    <fill>
      <patternFill/>
    </fill>
    <fill>
      <patternFill patternType="gray125"/>
    </fill>
    <fill>
      <patternFill patternType="solid">
        <fgColor rgb="FFFFFF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xf>
    <xf numFmtId="0" fontId="2" fillId="0" borderId="0" pivotButton="0" quotePrefix="0" xfId="0"/>
    <xf numFmtId="164" fontId="2" fillId="0" borderId="0" pivotButton="0" quotePrefix="0" xfId="0"/>
    <xf numFmtId="165" fontId="2" fillId="0" borderId="0" pivotButton="0" quotePrefix="0" xfId="0"/>
    <xf numFmtId="166" fontId="2" fillId="0" borderId="0" pivotButton="0" quotePrefix="0" xfId="0"/>
    <xf numFmtId="167" fontId="2" fillId="0" borderId="0" pivotButton="0" quotePrefix="0" xfId="0"/>
    <xf numFmtId="0" fontId="3" fillId="2" borderId="0" pivotButton="0" quotePrefix="0" xfId="0"/>
    <xf numFmtId="168" fontId="2" fillId="0" borderId="0" pivotButton="0" quotePrefix="0" xfId="0"/>
    <xf numFmtId="2" fontId="4" fillId="0" borderId="0" pivotButton="0" quotePrefix="0" xfId="0"/>
    <xf numFmtId="168" fontId="4" fillId="0" borderId="0" pivotButton="0" quotePrefix="0" xfId="0"/>
    <xf numFmtId="0" fontId="5" fillId="0" borderId="0" pivotButton="0" quotePrefix="0" xfId="0"/>
    <xf numFmtId="0" fontId="3" fillId="0" borderId="0" pivotButton="0" quotePrefix="0" xfId="0"/>
    <xf numFmtId="0" fontId="4" fillId="0" borderId="0" pivotButton="0" quotePrefix="0" xfId="0"/>
    <xf numFmtId="1" fontId="6" fillId="0" borderId="0" pivotButton="0" quotePrefix="0" xfId="0"/>
    <xf numFmtId="167" fontId="6" fillId="0" borderId="0" pivotButton="0" quotePrefix="0" xfId="0"/>
    <xf numFmtId="165" fontId="6" fillId="0" borderId="0" pivotButton="0" quotePrefix="0" xfId="0"/>
    <xf numFmtId="166" fontId="6" fillId="0" borderId="0" pivotButton="0" quotePrefix="0" xfId="0"/>
    <xf numFmtId="2" fontId="6" fillId="0" borderId="0" pivotButton="0" quotePrefix="0" xfId="0"/>
    <xf numFmtId="168" fontId="6" fillId="0" borderId="0" pivotButton="0" quotePrefix="0" xfId="0"/>
    <xf numFmtId="0" fontId="7" fillId="0" borderId="0" pivotButton="0" quotePrefix="0" xfId="0"/>
    <xf numFmtId="0" fontId="8" fillId="0" borderId="0" applyAlignment="1" pivotButton="0" quotePrefix="0" xfId="0">
      <alignment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SharpOds</author>
  </authors>
  <commentList>
    <comment ref="B5" authorId="0" shapeId="0">
      <text>
        <t>Win rate and P&amp;L are outcome metrics; mean no-vig CLV is the process metric the model answers to (Squares &amp; Sharps; Sharper). Small n: treat every number as provisional until the ledger's significance tests clear (see sharpods/clv.py).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78"/>
  <sheetViews>
    <sheetView workbookViewId="0">
      <selection activeCell="A1" sqref="A1"/>
    </sheetView>
  </sheetViews>
  <sheetFormatPr baseColWidth="8" defaultRowHeight="15"/>
  <cols>
    <col width="11" customWidth="1" min="1" max="1"/>
    <col width="16" customWidth="1" min="2" max="2"/>
    <col width="26" customWidth="1" min="3" max="3"/>
    <col width="13" customWidth="1" min="4" max="4"/>
    <col width="7" customWidth="1" min="5" max="5"/>
    <col width="7" customWidth="1" min="6" max="6"/>
    <col width="10" customWidth="1" min="7" max="7"/>
    <col width="10" customWidth="1" min="8" max="8"/>
    <col width="10" customWidth="1" min="9" max="9"/>
    <col width="9" customWidth="1" min="10" max="10"/>
    <col width="10" customWidth="1" min="11" max="11"/>
    <col width="12" customWidth="1" min="12" max="12"/>
    <col width="9" customWidth="1" min="13" max="13"/>
    <col width="60" customWidth="1" min="14" max="14"/>
  </cols>
  <sheetData>
    <row r="1">
      <c r="A1" s="1" t="inlineStr">
        <is>
          <t>Date</t>
        </is>
      </c>
      <c r="B1" s="1" t="inlineStr">
        <is>
          <t>Event</t>
        </is>
      </c>
      <c r="C1" s="1" t="inlineStr">
        <is>
          <t>Selection</t>
        </is>
      </c>
      <c r="D1" s="1" t="inlineStr">
        <is>
          <t>Type</t>
        </is>
      </c>
      <c r="E1" s="1" t="inlineStr">
        <is>
          <t>Target</t>
        </is>
      </c>
      <c r="F1" s="1" t="inlineStr">
        <is>
          <t>Fill</t>
        </is>
      </c>
      <c r="G1" s="1" t="inlineStr">
        <is>
          <t>Stake $</t>
        </is>
      </c>
      <c r="H1" s="1" t="inlineStr">
        <is>
          <t>Result</t>
        </is>
      </c>
      <c r="I1" s="1" t="inlineStr">
        <is>
          <t>P&amp;L $</t>
        </is>
      </c>
      <c r="J1" s="1" t="inlineStr">
        <is>
          <t>CLV raw</t>
        </is>
      </c>
      <c r="K1" s="1" t="inlineStr">
        <is>
          <t>CLV no-vig</t>
        </is>
      </c>
      <c r="L1" s="1" t="inlineStr">
        <is>
          <t>Anchor</t>
        </is>
      </c>
      <c r="M1" s="1" t="inlineStr">
        <is>
          <t>Process</t>
        </is>
      </c>
      <c r="N1" s="1" t="inlineStr">
        <is>
          <t>Notes</t>
        </is>
      </c>
    </row>
    <row r="2">
      <c r="A2" s="2" t="inlineStr">
        <is>
          <t>2026-07-29</t>
        </is>
      </c>
      <c r="B2" s="2" t="inlineStr">
        <is>
          <t>Full 5-game slate</t>
        </is>
      </c>
      <c r="C2" s="2" t="inlineStr">
        <is>
          <t>No bet - all 10 sides -EV</t>
        </is>
      </c>
      <c r="D2" s="2" t="inlineStr">
        <is>
          <t>pass</t>
        </is>
      </c>
      <c r="E2" s="3" t="n"/>
      <c r="F2" s="3" t="n"/>
      <c r="G2" s="4" t="n">
        <v>0</v>
      </c>
      <c r="H2" s="2" t="inlineStr">
        <is>
          <t>validated</t>
        </is>
      </c>
      <c r="I2" s="5" t="n">
        <v>0</v>
      </c>
      <c r="J2" s="6" t="n"/>
      <c r="K2" s="6" t="n"/>
      <c r="L2" s="2" t="inlineStr">
        <is>
          <t>clean</t>
        </is>
      </c>
      <c r="M2" s="2" t="inlineStr">
        <is>
          <t>worked</t>
        </is>
      </c>
      <c r="N2" s="2" t="inlineStr">
        <is>
          <t>Favorites went 2-3; both most-likely sides blew 6+ run leads; every listed price was -EV vs fair (avg -3.3%). Passing saved money.</t>
        </is>
      </c>
    </row>
    <row r="3">
      <c r="A3" s="2" t="inlineStr">
        <is>
          <t>2026-07-29</t>
        </is>
      </c>
      <c r="B3" s="2" t="inlineStr">
        <is>
          <t>BAL @ DET</t>
        </is>
      </c>
      <c r="C3" s="2" t="inlineStr">
        <is>
          <t>Tigers ML</t>
        </is>
      </c>
      <c r="D3" s="2" t="inlineStr">
        <is>
          <t>order_unfilled</t>
        </is>
      </c>
      <c r="E3" s="3" t="n">
        <v>1.633</v>
      </c>
      <c r="F3" s="3" t="n"/>
      <c r="G3" s="4" t="n">
        <v>0</v>
      </c>
      <c r="H3" s="2" t="inlineStr">
        <is>
          <t>no fill</t>
        </is>
      </c>
      <c r="I3" s="5" t="n">
        <v>0</v>
      </c>
      <c r="J3" s="6" t="n"/>
      <c r="K3" s="6" t="n"/>
      <c r="L3" s="2" t="inlineStr">
        <is>
          <t>clean</t>
        </is>
      </c>
      <c r="M3" s="2" t="inlineStr">
        <is>
          <t>worked</t>
        </is>
      </c>
      <c r="N3" s="2" t="inlineStr">
        <is>
          <t>Line closed 1.56-1.59, moving away; discipline held. Tigers lost 9-10 in 12 - a chased fill would have lost.</t>
        </is>
      </c>
    </row>
    <row r="4">
      <c r="A4" s="2" t="inlineStr">
        <is>
          <t>2026-07-30</t>
        </is>
      </c>
      <c r="B4" s="2" t="inlineStr">
        <is>
          <t>CHC @ STL</t>
        </is>
      </c>
      <c r="C4" s="2" t="inlineStr">
        <is>
          <t>Cubs ML</t>
        </is>
      </c>
      <c r="D4" s="2" t="inlineStr">
        <is>
          <t>ticket</t>
        </is>
      </c>
      <c r="E4" s="3" t="n">
        <v>1.991</v>
      </c>
      <c r="F4" s="3" t="n">
        <v>1.99</v>
      </c>
      <c r="G4" s="4" t="n">
        <v>30000</v>
      </c>
      <c r="H4" s="2" t="inlineStr">
        <is>
          <t>won</t>
        </is>
      </c>
      <c r="I4" s="5" t="n">
        <v>29700</v>
      </c>
      <c r="J4" s="6" t="n">
        <v>-0.005</v>
      </c>
      <c r="K4" s="6" t="n">
        <v>-0.0513</v>
      </c>
      <c r="L4" s="2" t="inlineStr">
        <is>
          <t>conflict</t>
        </is>
      </c>
      <c r="M4" s="2" t="inlineStr">
        <is>
          <t>miss</t>
        </is>
      </c>
      <c r="N4" s="2" t="inlineStr">
        <is>
          <t>Cashed on variance: close (CHC +100/STL -120, sharp money on STL) says the edge was not there. Fair missed the no-vig close by 3.7pts on a source-conflict market -&gt; conflict-refusal rule shipped.</t>
        </is>
      </c>
    </row>
    <row r="5">
      <c r="A5" s="2" t="inlineStr">
        <is>
          <t>2026-07-30</t>
        </is>
      </c>
      <c r="B5" s="2" t="inlineStr">
        <is>
          <t>PIT @ CIN</t>
        </is>
      </c>
      <c r="C5" s="2" t="inlineStr">
        <is>
          <t>Reds ML</t>
        </is>
      </c>
      <c r="D5" s="2" t="inlineStr">
        <is>
          <t>order_unfilled</t>
        </is>
      </c>
      <c r="E5" s="3" t="n">
        <v>1.985</v>
      </c>
      <c r="F5" s="3" t="n"/>
      <c r="G5" s="4" t="n">
        <v>0</v>
      </c>
      <c r="H5" s="2" t="inlineStr">
        <is>
          <t>no fill</t>
        </is>
      </c>
      <c r="I5" s="5" t="n">
        <v>0</v>
      </c>
      <c r="J5" s="6" t="n"/>
      <c r="K5" s="6" t="n"/>
      <c r="L5" s="2" t="inlineStr">
        <is>
          <t>clean</t>
        </is>
      </c>
      <c r="M5" s="2" t="inlineStr">
        <is>
          <t>pending</t>
        </is>
      </c>
      <c r="N5" s="2" t="inlineStr">
        <is>
          <t>Game pending at grading. Skenes scratched late (bullpen game) - the priced premise changed; listed-pitcher rules would have mattered.</t>
        </is>
      </c>
    </row>
    <row r="6">
      <c r="A6" s="2" t="inlineStr">
        <is>
          <t>2026-07-30</t>
        </is>
      </c>
      <c r="B6" s="2" t="inlineStr">
        <is>
          <t>CHC @ STL</t>
        </is>
      </c>
      <c r="C6" s="2" t="inlineStr">
        <is>
          <t>Cross-source 'arb' +1.28%</t>
        </is>
      </c>
      <c r="D6" s="2" t="inlineStr">
        <is>
          <t>flag</t>
        </is>
      </c>
      <c r="E6" s="3" t="n"/>
      <c r="F6" s="3" t="n"/>
      <c r="G6" s="4" t="n">
        <v>0</v>
      </c>
      <c r="H6" s="2" t="inlineStr">
        <is>
          <t>validated</t>
        </is>
      </c>
      <c r="I6" s="5" t="n">
        <v>0</v>
      </c>
      <c r="J6" s="6" t="n"/>
      <c r="K6" s="6" t="n"/>
      <c r="L6" s="2" t="inlineStr">
        <is>
          <t>conflict</t>
        </is>
      </c>
      <c r="M6" s="2" t="inlineStr">
        <is>
          <t>worked</t>
        </is>
      </c>
      <c r="N6" s="2" t="inlineStr">
        <is>
          <t>Labeled unverified staleness and not executed; the close proved it was quote drift, not free money.</t>
        </is>
      </c>
    </row>
    <row r="7">
      <c r="A7" s="2" t="inlineStr">
        <is>
          <t>2026-07-31</t>
        </is>
      </c>
      <c r="B7" s="2" t="inlineStr">
        <is>
          <t>NYY @ CHC</t>
        </is>
      </c>
      <c r="C7" s="2" t="inlineStr">
        <is>
          <t>Market refused (conflict rule)</t>
        </is>
      </c>
      <c r="D7" s="2" t="inlineStr">
        <is>
          <t>refusal</t>
        </is>
      </c>
      <c r="E7" s="3" t="n"/>
      <c r="F7" s="3" t="n"/>
      <c r="G7" s="4" t="n">
        <v>0</v>
      </c>
      <c r="H7" s="2" t="inlineStr">
        <is>
          <t>validated</t>
        </is>
      </c>
      <c r="I7" s="5" t="n">
        <v>0</v>
      </c>
      <c r="J7" s="6" t="n"/>
      <c r="K7" s="6" t="n"/>
      <c r="L7" s="2" t="inlineStr">
        <is>
          <t>conflict</t>
        </is>
      </c>
      <c r="M7" s="2" t="inlineStr">
        <is>
          <t>worked</t>
        </is>
      </c>
      <c r="N7" s="2" t="inlineStr">
        <is>
          <t>Close CHC -140 landed on the sportsbook consensus; Polymarket 52c was the stale outlier (NYY won 2-0 as a +130 dog - vs the close that bet was -7% EV luck). Refusal correct.</t>
        </is>
      </c>
    </row>
    <row r="8">
      <c r="A8" s="2" t="inlineStr">
        <is>
          <t>2026-07-31</t>
        </is>
      </c>
      <c r="B8" s="2" t="inlineStr">
        <is>
          <t>PHI @ BAL</t>
        </is>
      </c>
      <c r="C8" s="2" t="inlineStr">
        <is>
          <t>Phillies ML</t>
        </is>
      </c>
      <c r="D8" s="2" t="inlineStr">
        <is>
          <t>order_open</t>
        </is>
      </c>
      <c r="E8" s="3" t="n">
        <v>2.097</v>
      </c>
      <c r="F8" s="3" t="n"/>
      <c r="G8" s="4" t="n">
        <v>0</v>
      </c>
      <c r="H8" s="2" t="inlineStr">
        <is>
          <t>no fill</t>
        </is>
      </c>
      <c r="I8" s="5" t="n">
        <v>0</v>
      </c>
      <c r="J8" s="6" t="n"/>
      <c r="K8" s="6" t="n"/>
      <c r="L8" s="2" t="inlineStr">
        <is>
          <t>clean</t>
        </is>
      </c>
      <c r="M8" s="2" t="inlineStr">
        <is>
          <t>worked</t>
        </is>
      </c>
      <c r="N8" s="2" t="inlineStr">
        <is>
          <t>PHI never traded above 2.06 (target 2.10). Close no-vig PHI 0.467: even at target the bet was -2% vs close - not filling saved money. SportsGrid model lean (PHI 54%) was the wrong side per the close.</t>
        </is>
      </c>
    </row>
    <row r="9">
      <c r="A9" s="2" t="inlineStr">
        <is>
          <t>2026-07-31</t>
        </is>
      </c>
      <c r="B9" s="2" t="inlineStr">
        <is>
          <t>PIT @ CIN</t>
        </is>
      </c>
      <c r="C9" s="2" t="inlineStr">
        <is>
          <t>Pirates ML</t>
        </is>
      </c>
      <c r="D9" s="2" t="inlineStr">
        <is>
          <t>order_open</t>
        </is>
      </c>
      <c r="E9" s="3" t="n">
        <v>1.966</v>
      </c>
      <c r="F9" s="3" t="n"/>
      <c r="G9" s="4" t="n">
        <v>0</v>
      </c>
      <c r="H9" s="2" t="inlineStr">
        <is>
          <t>no fill</t>
        </is>
      </c>
      <c r="I9" s="5" t="n">
        <v>0</v>
      </c>
      <c r="J9" s="6" t="n"/>
      <c r="K9" s="6" t="n"/>
      <c r="L9" s="2" t="inlineStr">
        <is>
          <t>clean</t>
        </is>
      </c>
      <c r="M9" s="2" t="inlineStr">
        <is>
          <t>worked</t>
        </is>
      </c>
      <c r="N9" s="2" t="inlineStr">
        <is>
          <t>PIT -120 to -136 all day, never near the 1.966 target. Close no-vig PIT 0.564: a 1.966 fill would have been ~+11% EV vs close - right side, market never paid the price.</t>
        </is>
      </c>
    </row>
    <row r="10">
      <c r="A10" s="2" t="inlineStr">
        <is>
          <t>2026-08-01</t>
        </is>
      </c>
      <c r="B10" s="2" t="inlineStr">
        <is>
          <t>PIT @ CIN</t>
        </is>
      </c>
      <c r="C10" s="2" t="inlineStr">
        <is>
          <t>Reds ML</t>
        </is>
      </c>
      <c r="D10" s="2" t="inlineStr">
        <is>
          <t>order_unfilled</t>
        </is>
      </c>
      <c r="E10" s="3" t="n">
        <v>2.231</v>
      </c>
      <c r="F10" s="3" t="n"/>
      <c r="G10" s="4" t="n">
        <v>0</v>
      </c>
      <c r="H10" s="2" t="inlineStr">
        <is>
          <t>no fill</t>
        </is>
      </c>
      <c r="I10" s="5" t="n">
        <v>0</v>
      </c>
      <c r="J10" s="6" t="n"/>
      <c r="K10" s="6" t="n"/>
      <c r="L10" s="2" t="inlineStr">
        <is>
          <t>clean</t>
        </is>
      </c>
      <c r="M10" s="2" t="inlineStr">
        <is>
          <t>worked</t>
        </is>
      </c>
      <c r="N10" s="2" t="inlineStr">
        <is>
          <t>CIN never traded above +106 (2.06) - 17 cents short of the 2.231 bar; the '+120 one source' quote was never corroborated. CIN lost 1-4, so no fill dodged a loss; vs the no-vig close a 2.231 fill would still have been +EV (right side, market never paid).</t>
        </is>
      </c>
    </row>
    <row r="11">
      <c r="A11" s="2" t="inlineStr">
        <is>
          <t>2026-08-01</t>
        </is>
      </c>
      <c r="B11" s="2" t="inlineStr">
        <is>
          <t>PIT @ CIN</t>
        </is>
      </c>
      <c r="C11" s="2" t="inlineStr">
        <is>
          <t>Pirates ML</t>
        </is>
      </c>
      <c r="D11" s="2" t="inlineStr">
        <is>
          <t>order_open</t>
        </is>
      </c>
      <c r="E11" s="3" t="n">
        <v>1.888</v>
      </c>
      <c r="F11" s="3" t="n"/>
      <c r="G11" s="4" t="n">
        <v>0</v>
      </c>
      <c r="H11" s="2" t="inlineStr">
        <is>
          <t>superseded</t>
        </is>
      </c>
      <c r="I11" s="5" t="n">
        <v>0</v>
      </c>
      <c r="J11" s="6" t="n"/>
      <c r="K11" s="6" t="n"/>
      <c r="L11" s="2" t="inlineStr">
        <is>
          <t>clean</t>
        </is>
      </c>
      <c r="M11" s="2" t="inlineStr">
        <is>
          <t>superseded</t>
        </is>
      </c>
      <c r="N11" s="2" t="inlineStr">
        <is>
          <t>Superseded by the full-card re-rank (PIT side fell out of the top orders).</t>
        </is>
      </c>
    </row>
    <row r="12">
      <c r="A12" s="2" t="inlineStr">
        <is>
          <t>2026-08-01</t>
        </is>
      </c>
      <c r="B12" s="2" t="inlineStr">
        <is>
          <t>NYY @ CHC</t>
        </is>
      </c>
      <c r="C12" s="2" t="inlineStr">
        <is>
          <t>Market refused (conflict rule, day 2)</t>
        </is>
      </c>
      <c r="D12" s="2" t="inlineStr">
        <is>
          <t>refusal</t>
        </is>
      </c>
      <c r="E12" s="3" t="n"/>
      <c r="F12" s="3" t="n"/>
      <c r="G12" s="4" t="n">
        <v>0</v>
      </c>
      <c r="H12" s="2" t="inlineStr">
        <is>
          <t>validated</t>
        </is>
      </c>
      <c r="I12" s="5" t="n">
        <v>0</v>
      </c>
      <c r="J12" s="6" t="n"/>
      <c r="K12" s="6" t="n"/>
      <c r="L12" s="2" t="inlineStr">
        <is>
          <t>conflict</t>
        </is>
      </c>
      <c r="M12" s="2" t="inlineStr">
        <is>
          <t>worked</t>
        </is>
      </c>
      <c r="N12" s="2" t="inlineStr">
        <is>
          <t>Refusal correct, with a twist: the close landed NYY road-favorite (-122 to -132; CHC +102/+105) - the OPPOSITE of our 'books CHC 1.62' quote, which no closing book corroborates. That quote was stale/wrong (flagged for provenance). Polymarket NYY 54c was actually the consensus side. CHC won 5-2 anyway - neither side's value story survived. Conflict rule worked for the right reason: garbage inputs were refused, not priced.</t>
        </is>
      </c>
    </row>
    <row r="13">
      <c r="A13" s="2" t="inlineStr">
        <is>
          <t>2026-08-01</t>
        </is>
      </c>
      <c r="B13" s="2" t="inlineStr">
        <is>
          <t>WSH @ ATL</t>
        </is>
      </c>
      <c r="C13" s="2" t="inlineStr">
        <is>
          <t>Market refused (no anchor &gt;= 0.5)</t>
        </is>
      </c>
      <c r="D13" s="2" t="inlineStr">
        <is>
          <t>refusal</t>
        </is>
      </c>
      <c r="E13" s="3" t="n"/>
      <c r="F13" s="3" t="n"/>
      <c r="G13" s="4" t="n">
        <v>0</v>
      </c>
      <c r="H13" s="2" t="inlineStr">
        <is>
          <t>validated</t>
        </is>
      </c>
      <c r="I13" s="5" t="n">
        <v>0</v>
      </c>
      <c r="J13" s="6" t="n"/>
      <c r="K13" s="6" t="n"/>
      <c r="L13" s="2" t="inlineStr">
        <is>
          <t>clean</t>
        </is>
      </c>
      <c r="M13" s="2" t="inlineStr">
        <is>
          <t>worked</t>
        </is>
      </c>
      <c r="N13" s="2" t="inlineStr">
        <is>
          <t>Braves 8-3. Polymarket-only board stayed unpriced per the 0.45-sharpness demotion; no book close collected for this game.</t>
        </is>
      </c>
    </row>
    <row r="14">
      <c r="A14" s="2" t="inlineStr">
        <is>
          <t>2026-08-01</t>
        </is>
      </c>
      <c r="B14" s="2" t="inlineStr">
        <is>
          <t>PHI @ BAL</t>
        </is>
      </c>
      <c r="C14" s="2" t="inlineStr">
        <is>
          <t>Orioles ML</t>
        </is>
      </c>
      <c r="D14" s="2" t="inlineStr">
        <is>
          <t>order_unfilled</t>
        </is>
      </c>
      <c r="E14" s="3" t="n">
        <v>2.225</v>
      </c>
      <c r="F14" s="3" t="n"/>
      <c r="G14" s="4" t="n">
        <v>0</v>
      </c>
      <c r="H14" s="2" t="inlineStr">
        <is>
          <t>no fill</t>
        </is>
      </c>
      <c r="I14" s="5" t="n">
        <v>0</v>
      </c>
      <c r="J14" s="6" t="n"/>
      <c r="K14" s="6" t="n"/>
      <c r="L14" s="2" t="inlineStr">
        <is>
          <t>clean</t>
        </is>
      </c>
      <c r="M14" s="2" t="inlineStr">
        <is>
          <t>worked</t>
        </is>
      </c>
      <c r="N14" s="2" t="inlineStr">
        <is>
          <t>Fill ambiguous: consensus close +119 (2.19) never reached the 2.225 bar, but SportsGrid reported 'BAL +125 at other books' pregame, which would have filled. Graded no-fill on the consensus board we price from. BAL lost 0-5, so neither grading forfeits a win; a phantom fill would have lost. Single-book-anchor caveat from pre-registration stands.</t>
        </is>
      </c>
    </row>
    <row r="15">
      <c r="A15" s="2" t="inlineStr">
        <is>
          <t>2026-08-01</t>
        </is>
      </c>
      <c r="B15" s="2" t="inlineStr">
        <is>
          <t>SEA @ POR (MLS)</t>
        </is>
      </c>
      <c r="C15" s="2" t="inlineStr">
        <is>
          <t>Timbers ML</t>
        </is>
      </c>
      <c r="D15" s="2" t="inlineStr">
        <is>
          <t>order_unfilled</t>
        </is>
      </c>
      <c r="E15" s="3" t="n">
        <v>2.23</v>
      </c>
      <c r="F15" s="3" t="n"/>
      <c r="G15" s="4" t="n">
        <v>0</v>
      </c>
      <c r="H15" s="2" t="inlineStr">
        <is>
          <t>no fill</t>
        </is>
      </c>
      <c r="I15" s="5" t="n">
        <v>0</v>
      </c>
      <c r="J15" s="6" t="n"/>
      <c r="K15" s="6" t="n"/>
      <c r="L15" s="2" t="inlineStr">
        <is>
          <t>clean</t>
        </is>
      </c>
      <c r="M15" s="2" t="inlineStr">
        <is>
          <t>worked</t>
        </is>
      </c>
      <c r="N15" s="2" t="inlineStr">
        <is>
          <t>NO BET - user report (the only fill oracle; pages 403 post-hoc): the prediction-market ask had moved above the 45c stand-down line (engine minimum 2.23) by bet time, so per the slip's own fill rule the order did not fire. Paper grade of the 2.273 listed snapshot: Portland won 2-1 and the number beat the bet365 close 2.05/3.80/3.00 by +10.9% raw / +4.5% no-vig - the edge was real at the snapshot, and it decayed before execution. Standing down was correct: at the moved ask the +2.5% EV bar was no longer met.</t>
        </is>
      </c>
    </row>
    <row r="16">
      <c r="A16" s="2" t="inlineStr">
        <is>
          <t>2026-08-02</t>
        </is>
      </c>
      <c r="B16" s="2" t="inlineStr">
        <is>
          <t>WSH @ ATL</t>
        </is>
      </c>
      <c r="C16" s="2" t="inlineStr">
        <is>
          <t>Braves ML</t>
        </is>
      </c>
      <c r="D16" s="2" t="inlineStr">
        <is>
          <t>order_void</t>
        </is>
      </c>
      <c r="E16" s="3" t="n">
        <v>1.866</v>
      </c>
      <c r="F16" s="3" t="n"/>
      <c r="G16" s="4" t="n">
        <v>0</v>
      </c>
      <c r="H16" s="2" t="inlineStr">
        <is>
          <t>no fill</t>
        </is>
      </c>
      <c r="I16" s="5" t="n">
        <v>0</v>
      </c>
      <c r="J16" s="6" t="n"/>
      <c r="K16" s="6" t="n"/>
      <c r="L16" s="2" t="inlineStr">
        <is>
          <t>clean</t>
        </is>
      </c>
      <c r="M16" s="2" t="inlineStr">
        <is>
          <t>miss</t>
        </is>
      </c>
      <c r="N16" s="2" t="inlineStr">
        <is>
          <t>VOID - PROCESS MISS (user report): the card shipped hours after this game's 1:35 PM ET first pitch. The container clock read Sunday evening; I overrode it because search snippets showed no Sunday finals - but a lagging search index is not pre-game proof. Order was never actionable; no bet placed, none should be. Original order terms preserved above for the record; outcome deliberately NOT graded (no hindsight grading of a void order).</t>
        </is>
      </c>
    </row>
    <row r="17">
      <c r="A17" s="2" t="inlineStr">
        <is>
          <t>2026-08-02</t>
        </is>
      </c>
      <c r="B17" s="2" t="inlineStr">
        <is>
          <t>BOS @ LAD (Sunday Night Baseball)</t>
        </is>
      </c>
      <c r="C17" s="2" t="inlineStr">
        <is>
          <t>Dodgers ML</t>
        </is>
      </c>
      <c r="D17" s="2" t="inlineStr">
        <is>
          <t>order_void</t>
        </is>
      </c>
      <c r="E17" s="3" t="n">
        <v>1.666</v>
      </c>
      <c r="F17" s="3" t="n"/>
      <c r="G17" s="4" t="n">
        <v>0</v>
      </c>
      <c r="H17" s="2" t="inlineStr">
        <is>
          <t>no fill</t>
        </is>
      </c>
      <c r="I17" s="5" t="n">
        <v>0</v>
      </c>
      <c r="J17" s="6" t="n"/>
      <c r="K17" s="6" t="n"/>
      <c r="L17" s="2" t="inlineStr">
        <is>
          <t>clean</t>
        </is>
      </c>
      <c r="M17" s="2" t="inlineStr">
        <is>
          <t>miss</t>
        </is>
      </c>
      <c r="N17" s="2" t="inlineStr">
        <is>
          <t>VOID - cancelled at 7:03 PM ET with first pitch 7:20 PM ET: no time to re-verify the line, and every price on the card is a morning-stale snapshot. An unsupervisable order is not an order.</t>
        </is>
      </c>
    </row>
    <row r="18">
      <c r="A18" s="2" t="inlineStr">
        <is>
          <t>2026-08-02</t>
        </is>
      </c>
      <c r="B18" s="2" t="inlineStr">
        <is>
          <t>MIA @ NYM</t>
        </is>
      </c>
      <c r="C18" s="2" t="inlineStr">
        <is>
          <t>Marlins ML</t>
        </is>
      </c>
      <c r="D18" s="2" t="inlineStr">
        <is>
          <t>order_void</t>
        </is>
      </c>
      <c r="E18" s="3" t="n">
        <v>1.925</v>
      </c>
      <c r="F18" s="3" t="n"/>
      <c r="G18" s="4" t="n">
        <v>0</v>
      </c>
      <c r="H18" s="2" t="inlineStr">
        <is>
          <t>no fill</t>
        </is>
      </c>
      <c r="I18" s="5" t="n">
        <v>0</v>
      </c>
      <c r="J18" s="6" t="n"/>
      <c r="K18" s="6" t="n"/>
      <c r="L18" s="2" t="inlineStr">
        <is>
          <t>clean</t>
        </is>
      </c>
      <c r="M18" s="2" t="inlineStr">
        <is>
          <t>miss</t>
        </is>
      </c>
      <c r="N18" s="2" t="inlineStr">
        <is>
          <t>VOID - shipped after the 1:40 PM ET first pitch (same process miss as the headline order). No bet placed, none should be.</t>
        </is>
      </c>
    </row>
    <row r="19">
      <c r="A19" s="2" t="inlineStr">
        <is>
          <t>2026-08-02</t>
        </is>
      </c>
      <c r="B19" s="2" t="inlineStr">
        <is>
          <t>PIT @ CIN</t>
        </is>
      </c>
      <c r="C19" s="2" t="inlineStr">
        <is>
          <t>Moneyline refused (conflict rule)</t>
        </is>
      </c>
      <c r="D19" s="2" t="inlineStr">
        <is>
          <t>refusal</t>
        </is>
      </c>
      <c r="E19" s="3" t="n"/>
      <c r="F19" s="3" t="n"/>
      <c r="G19" s="4" t="n">
        <v>0</v>
      </c>
      <c r="H19" s="2" t="inlineStr">
        <is>
          <t>validated</t>
        </is>
      </c>
      <c r="I19" s="5" t="n">
        <v>0</v>
      </c>
      <c r="J19" s="6" t="n"/>
      <c r="K19" s="6" t="n"/>
      <c r="L19" s="2" t="inlineStr">
        <is>
          <t>conflict</t>
        </is>
      </c>
      <c r="M19" s="2" t="inlineStr">
        <is>
          <t>worked</t>
        </is>
      </c>
      <c r="N19" s="2" t="inlineStr">
        <is>
          <t>Refusal validated on PROCESS: the book-vs-Polymarket gap (CIN 1.676 vs 55c) never visibly converged before first pitch - the market stayed unpriceable by our rule at every observable snapshot. CIN won 10-2 (Burns 6 IP 9 K) and the close landed -148, but outcome isn't the verdict; the conflict rule is now 4-for-4 on process. Pre-registered under the conflict rule, graded at the close.</t>
        </is>
      </c>
    </row>
    <row r="20">
      <c r="A20" s="2" t="inlineStr">
        <is>
          <t>2026-08-03</t>
        </is>
      </c>
      <c r="B20" s="2" t="inlineStr">
        <is>
          <t>STL @ NYY (7:05 PM ET Mon)</t>
        </is>
      </c>
      <c r="C20" s="2" t="inlineStr">
        <is>
          <t>Yankees ML</t>
        </is>
      </c>
      <c r="D20" s="2" t="inlineStr">
        <is>
          <t>order_unfilled</t>
        </is>
      </c>
      <c r="E20" s="3" t="n">
        <v>1.599</v>
      </c>
      <c r="F20" s="3" t="n"/>
      <c r="G20" s="4" t="n">
        <v>0</v>
      </c>
      <c r="H20" s="2" t="inlineStr">
        <is>
          <t>no fill</t>
        </is>
      </c>
      <c r="I20" s="5" t="n">
        <v>0</v>
      </c>
      <c r="J20" s="6" t="n"/>
      <c r="K20" s="6" t="n"/>
      <c r="L20" s="2" t="inlineStr">
        <is>
          <t>clean</t>
        </is>
      </c>
      <c r="M20" s="2" t="inlineStr">
        <is>
          <t>worked</t>
        </is>
      </c>
      <c r="N20" s="2" t="inlineStr">
        <is>
          <t>NOT FILLED - and saved by it. Every dated Monday price moved AWAY from the 1.599 trigger (NYY -186 Sunday -&gt; -195/-210/-217/-235 across books at close); then NYY lost 7-13 (Burleson 3 HR off Schlittler). Our fair (64.1%) sat above a close (~65%) that the result embarrassed - calibration fine, outcome brutal, order discipline kept the stake at zero.</t>
        </is>
      </c>
    </row>
    <row r="21">
      <c r="A21" s="2" t="inlineStr">
        <is>
          <t>2026-08-03</t>
        </is>
      </c>
      <c r="B21" s="2" t="inlineStr">
        <is>
          <t>SEA @ NYL (7:00 PM ET Mon)</t>
        </is>
      </c>
      <c r="C21" s="2" t="inlineStr">
        <is>
          <t>Liberty ML</t>
        </is>
      </c>
      <c r="D21" s="2" t="inlineStr">
        <is>
          <t>order_filled_paper</t>
        </is>
      </c>
      <c r="E21" s="3" t="n">
        <v>1.278</v>
      </c>
      <c r="F21" s="3" t="n">
        <v>1.278</v>
      </c>
      <c r="G21" s="4" t="n">
        <v>0</v>
      </c>
      <c r="H21" s="2" t="inlineStr">
        <is>
          <t>won</t>
        </is>
      </c>
      <c r="I21" s="5" t="n">
        <v>0</v>
      </c>
      <c r="J21" s="6" t="n">
        <v>-0.0318</v>
      </c>
      <c r="K21" s="6" t="n">
        <v>-0.0536</v>
      </c>
      <c r="L21" s="2" t="inlineStr">
        <is>
          <t>clean</t>
        </is>
      </c>
      <c r="M21" s="2" t="inlineStr">
        <is>
          <t>flagged</t>
        </is>
      </c>
      <c r="N21" s="2" t="inlineStr">
        <is>
          <t>FILL CONDITION MET AND CASHED - but read the CLV. Liberty drifted -450 -&gt; -315 close, straight through the 1.278 trigger, and won 95-83. At the conservative fill (1.278) that is NEGATIVE CLV vs the ~1.35 no-vig close: a resting limit order fills precisely when the market moves through it - adverse selection (Walters: the drift was information; the market said the Storm were live-r than our day-old board). Paper grade only, stake 0: this was a backup order, not the headline, and the user bets headline only.</t>
        </is>
      </c>
    </row>
    <row r="22">
      <c r="A22" s="2" t="inlineStr">
        <is>
          <t>2026-08-03</t>
        </is>
      </c>
      <c r="B22" s="2" t="inlineStr">
        <is>
          <t>SFG @ TEX (8:05 PM ET Mon)</t>
        </is>
      </c>
      <c r="C22" s="2" t="inlineStr">
        <is>
          <t>Rangers ML</t>
        </is>
      </c>
      <c r="D22" s="2" t="inlineStr">
        <is>
          <t>order_unfilled</t>
        </is>
      </c>
      <c r="E22" s="3" t="n">
        <v>2.03</v>
      </c>
      <c r="F22" s="3" t="n"/>
      <c r="G22" s="4" t="n">
        <v>0</v>
      </c>
      <c r="H22" s="2" t="inlineStr">
        <is>
          <t>no fill</t>
        </is>
      </c>
      <c r="I22" s="5" t="n">
        <v>0</v>
      </c>
      <c r="J22" s="6" t="n"/>
      <c r="K22" s="6" t="n"/>
      <c r="L22" s="2" t="inlineStr">
        <is>
          <t>clean</t>
        </is>
      </c>
      <c r="M22" s="2" t="inlineStr">
        <is>
          <t>worked</t>
        </is>
      </c>
      <c r="N22" s="2" t="inlineStr">
        <is>
          <t>NOT FILLED - TEX never reached plus-money (observed -105 to -125 across books; +103 trigger unreached), then lost 1-5 with five errors behind Webb's 6 shutout IP. Second unfilled loser dodged on the day.</t>
        </is>
      </c>
    </row>
    <row r="23">
      <c r="A23" s="2" t="inlineStr">
        <is>
          <t>2026-08-03</t>
        </is>
      </c>
      <c r="B23" s="2" t="inlineStr">
        <is>
          <t>SDP @ AZ (9:40 PM ET Mon)</t>
        </is>
      </c>
      <c r="C23" s="2" t="inlineStr">
        <is>
          <t>Board rejected pre-slate (garbled quotes)</t>
        </is>
      </c>
      <c r="D23" s="2" t="inlineStr">
        <is>
          <t>flag</t>
        </is>
      </c>
      <c r="E23" s="3" t="n"/>
      <c r="F23" s="3" t="n"/>
      <c r="G23" s="4" t="n">
        <v>0</v>
      </c>
      <c r="H23" s="2" t="inlineStr">
        <is>
          <t>validated</t>
        </is>
      </c>
      <c r="I23" s="5" t="n">
        <v>0</v>
      </c>
      <c r="J23" s="6" t="n"/>
      <c r="K23" s="6" t="n"/>
      <c r="L23" s="2" t="inlineStr">
        <is>
          <t>conflict</t>
        </is>
      </c>
      <c r="M23" s="2" t="inlineStr">
        <is>
          <t>worked</t>
        </is>
      </c>
      <c r="N23" s="2" t="inlineStr">
        <is>
          <t>Rejection fully validated: the real Monday market was near pick'em with ARI a slight HOME favorite (BetMGM/DK SDP -102 / ARI -118; Yahoo -113) - the garbled 'SD -185/ARI +737' board was wrong on side AND magnitude. ARI won 5-1. Garbage in, nothing out: correct.</t>
        </is>
      </c>
    </row>
    <row r="24">
      <c r="A24" s="2" t="inlineStr">
        <is>
          <t>2026-08-06</t>
        </is>
      </c>
      <c r="B24" s="2" t="inlineStr">
        <is>
          <t>ATH @ CIN (start time unverified; typical 12:35 PM ET getaway)</t>
        </is>
      </c>
      <c r="C24" s="2" t="inlineStr">
        <is>
          <t>Reds ML</t>
        </is>
      </c>
      <c r="D24" s="2" t="inlineStr">
        <is>
          <t>order_unfilled</t>
        </is>
      </c>
      <c r="E24" s="3" t="n">
        <v>1.679</v>
      </c>
      <c r="F24" s="3" t="n"/>
      <c r="G24" s="4" t="n">
        <v>0</v>
      </c>
      <c r="H24" s="2" t="inlineStr">
        <is>
          <t>no fill</t>
        </is>
      </c>
      <c r="I24" s="5" t="n">
        <v>0</v>
      </c>
      <c r="J24" s="6" t="n"/>
      <c r="K24" s="6" t="n"/>
      <c r="L24" s="2" t="inlineStr">
        <is>
          <t>clean</t>
        </is>
      </c>
      <c r="M24" s="2" t="inlineStr">
        <is>
          <t>worked</t>
        </is>
      </c>
      <c r="N24" s="2" t="inlineStr">
        <is>
          <t>NOT FILLED: CIN drifted our way (-171 open -&gt; -158 at first pitch) but never reached the -147 (1.679) bar; best documented 1.633. CIN won 6-5, and a 1.679 fill would have carried +2.8% raw CLV vs the close - right side, right price demand, market never paid it. Reverse line movement toward the road dog noted pregame; the bar held anyway.</t>
        </is>
      </c>
    </row>
    <row r="25">
      <c r="A25" s="2" t="inlineStr">
        <is>
          <t>2026-08-06</t>
        </is>
      </c>
      <c r="B25" s="2" t="inlineStr">
        <is>
          <t>Dinamo Minsk @ Braga (UECL Q3 leg 1; kickoff ~3:00-3:45 PM ET assumed)</t>
        </is>
      </c>
      <c r="C25" s="2" t="inlineStr">
        <is>
          <t>Braga ML (3-way, draw/away lose)</t>
        </is>
      </c>
      <c r="D25" s="2" t="inlineStr">
        <is>
          <t>order_unfilled</t>
        </is>
      </c>
      <c r="E25" s="3" t="n">
        <v>1.141</v>
      </c>
      <c r="F25" s="3" t="n"/>
      <c r="G25" s="4" t="n">
        <v>0</v>
      </c>
      <c r="H25" s="2" t="inlineStr">
        <is>
          <t>no fill</t>
        </is>
      </c>
      <c r="I25" s="5" t="n">
        <v>0</v>
      </c>
      <c r="J25" s="6" t="n"/>
      <c r="K25" s="6" t="n"/>
      <c r="L25" s="2" t="inlineStr">
        <is>
          <t>clean</t>
        </is>
      </c>
      <c r="M25" s="2" t="inlineStr">
        <is>
          <t>worked</t>
        </is>
      </c>
      <c r="N25" s="2" t="inlineStr">
        <is>
          <t>NOT FILLED: Braga sat 1.10-1.11 everywhere pre-match; the 1.141 re-verified quote never existed. Braga won 1-0. The demotion logic validated exactly: on extreme favorites the only 'fills' available are cross-book noise, and even that noise stayed under 4 cents.</t>
        </is>
      </c>
    </row>
    <row r="26">
      <c r="A26" s="2" t="inlineStr">
        <is>
          <t>2026-08-06</t>
        </is>
      </c>
      <c r="B26" s="2" t="inlineStr">
        <is>
          <t>ARI @ CAR, Hall of Fame Game (8:00 PM ET Thu, Canton - neutral site)</t>
        </is>
      </c>
      <c r="C26" s="2" t="inlineStr">
        <is>
          <t>Cardinals +1.5</t>
        </is>
      </c>
      <c r="D26" s="2" t="inlineStr">
        <is>
          <t>order_unfilled</t>
        </is>
      </c>
      <c r="E26" s="3" t="n">
        <v>1.88</v>
      </c>
      <c r="F26" s="3" t="n"/>
      <c r="G26" s="4" t="n">
        <v>0</v>
      </c>
      <c r="H26" s="2" t="inlineStr">
        <is>
          <t>no fill</t>
        </is>
      </c>
      <c r="I26" s="5" t="n">
        <v>0</v>
      </c>
      <c r="J26" s="6" t="n"/>
      <c r="K26" s="6" t="n"/>
      <c r="L26" s="2" t="inlineStr">
        <is>
          <t>clean</t>
        </is>
      </c>
      <c r="M26" s="2" t="inlineStr">
        <is>
          <t>worked</t>
        </is>
      </c>
      <c r="N26" s="2" t="inlineStr">
        <is>
          <t>NOT FILLED by one cent of juice: ARI +1.5 reached ~-115 game-day vs the -114 bar - and then LOST (CAR won by exactly 3 on the final play). The near-miss dodged a loser; fill discipline is net positive on the card (two would-have-won fills never reached target, the one would-have-lost fill missed by a cent).</t>
        </is>
      </c>
    </row>
    <row r="27">
      <c r="A27" s="2" t="inlineStr">
        <is>
          <t>2026-08-06</t>
        </is>
      </c>
      <c r="B27" s="2" t="inlineStr">
        <is>
          <t>ARI @ CAR (HOF Game)</t>
        </is>
      </c>
      <c r="C27" s="2" t="inlineStr">
        <is>
          <t>Wong teaser leg suppressed (ARI +1.5 -&gt; +7.5)</t>
        </is>
      </c>
      <c r="D27" s="2" t="inlineStr">
        <is>
          <t>flag</t>
        </is>
      </c>
      <c r="E27" s="3" t="n"/>
      <c r="F27" s="3" t="n"/>
      <c r="G27" s="4" t="n">
        <v>0</v>
      </c>
      <c r="H27" s="2" t="inlineStr">
        <is>
          <t>validated</t>
        </is>
      </c>
      <c r="I27" s="5" t="n">
        <v>0</v>
      </c>
      <c r="J27" s="6" t="n"/>
      <c r="K27" s="6" t="n"/>
      <c r="L27" s="2" t="inlineStr">
        <is>
          <t>clean</t>
        </is>
      </c>
      <c r="M27" s="2" t="inlineStr">
        <is>
          <t>worked</t>
        </is>
      </c>
      <c r="N27" s="2" t="inlineStr">
        <is>
          <t>Suppression validated on process with an ironic outcome: the suppressed leg (ARI +1.5 -&gt; +7.5) would have back-doored a win (lost by 3), but the game produced 63 points against a 34.5 total - preseason margins have NO key-number structure, which is precisely why the leg had no business existing. Note-only; engine gating change still deferred (Walters rule).</t>
        </is>
      </c>
    </row>
    <row r="28">
      <c r="A28" s="2" t="inlineStr">
        <is>
          <t>2026-08-10</t>
        </is>
      </c>
      <c r="B28" s="2" t="inlineStr">
        <is>
          <t>NYM @ ATL (7:15 PM ET Mon)</t>
        </is>
      </c>
      <c r="C28" s="2" t="inlineStr">
        <is>
          <t>Braves ML</t>
        </is>
      </c>
      <c r="D28" s="2" t="inlineStr">
        <is>
          <t>order_filled</t>
        </is>
      </c>
      <c r="E28" s="3" t="n">
        <v>1.684</v>
      </c>
      <c r="F28" s="3" t="n">
        <v>1.684</v>
      </c>
      <c r="G28" s="4" t="n">
        <v>0</v>
      </c>
      <c r="H28" s="2" t="inlineStr">
        <is>
          <t>lost</t>
        </is>
      </c>
      <c r="I28" s="5" t="n">
        <v>0</v>
      </c>
      <c r="J28" s="6" t="n">
        <v>-0.0152</v>
      </c>
      <c r="K28" s="6" t="n">
        <v>-0.0305</v>
      </c>
      <c r="L28" s="2" t="inlineStr">
        <is>
          <t>clean</t>
        </is>
      </c>
      <c r="M28" s="2" t="inlineStr">
        <is>
          <t>flagged</t>
        </is>
      </c>
      <c r="N28" s="2" t="inlineStr">
        <is>
          <t>FILLED AND LOST - first filled headline order. The trigger (1.684/-147) verifiably printed at multiple books (-138 Covers, -140 FanDuel, -143 Caesars) before first pitch; ATL lost 8-5. Graded at the 1.684 floor: raw CLV -1.5%, no-vig -3.1% - NEGATIVE, the second straight drift-fill with negative CLV (Liberty Aug-3 was the first). The market drifted toward the Mets all day and the drift was information; re-priced at the drifted number, our own blend no longer cleared the bar. DRIFT-CANCEL RULE shipped to CLAUDE.md off this graded pair. User stake unconfirmed - tracker computes the loss at your unit stake; if you passed on it, tell me and I regrade to no-bet (Timbers precedent).</t>
        </is>
      </c>
    </row>
    <row r="29">
      <c r="A29" s="2" t="inlineStr">
        <is>
          <t>2026-08-10</t>
        </is>
      </c>
      <c r="B29" s="2" t="inlineStr">
        <is>
          <t>Shnaider vs Swiatek, WTA Toronto QF (7:00 PM ET Mon)</t>
        </is>
      </c>
      <c r="C29" s="2" t="inlineStr">
        <is>
          <t>Swiatek ML</t>
        </is>
      </c>
      <c r="D29" s="2" t="inlineStr">
        <is>
          <t>order_unfilled</t>
        </is>
      </c>
      <c r="E29" s="3" t="n">
        <v>1.403</v>
      </c>
      <c r="F29" s="3" t="n"/>
      <c r="G29" s="4" t="n">
        <v>0</v>
      </c>
      <c r="H29" s="2" t="inlineStr">
        <is>
          <t>no fill</t>
        </is>
      </c>
      <c r="I29" s="5" t="n">
        <v>0</v>
      </c>
      <c r="J29" s="6" t="n"/>
      <c r="K29" s="6" t="n"/>
      <c r="L29" s="2" t="inlineStr">
        <is>
          <t>clean</t>
        </is>
      </c>
      <c r="M29" s="2" t="inlineStr">
        <is>
          <t>worked</t>
        </is>
      </c>
      <c r="N29" s="2" t="inlineStr">
        <is>
          <t>NOT FILLED: no book ever printed 1.403+ (-285/-300 everywhere). Swiatek won 6-2 6-1 - a missed winner, which is the cost side of the same discipline that has dodged three losers. The bar cuts both ways; that is the design.</t>
        </is>
      </c>
    </row>
    <row r="30">
      <c r="A30" s="2" t="inlineStr">
        <is>
          <t>2026-08-10</t>
        </is>
      </c>
      <c r="B30" s="2" t="inlineStr">
        <is>
          <t>COL @ AZ (Chase Field, evening - exact time TBC)</t>
        </is>
      </c>
      <c r="C30" s="2" t="inlineStr">
        <is>
          <t>Diamondbacks ML</t>
        </is>
      </c>
      <c r="D30" s="2" t="inlineStr">
        <is>
          <t>order_unfilled</t>
        </is>
      </c>
      <c r="E30" s="3" t="n">
        <v>1.624</v>
      </c>
      <c r="F30" s="3" t="n"/>
      <c r="G30" s="4" t="n">
        <v>0</v>
      </c>
      <c r="H30" s="2" t="inlineStr">
        <is>
          <t>no fill</t>
        </is>
      </c>
      <c r="I30" s="5" t="n">
        <v>0</v>
      </c>
      <c r="J30" s="6" t="n"/>
      <c r="K30" s="6" t="n"/>
      <c r="L30" s="2" t="inlineStr">
        <is>
          <t>clean</t>
        </is>
      </c>
      <c r="M30" s="2" t="inlineStr">
        <is>
          <t>worked</t>
        </is>
      </c>
      <c r="N30" s="2" t="inlineStr">
        <is>
          <t>NOT FILLED: line moved AWAY from the order all day (-179 -&gt; -190s; the -164 outlier board never reached -160). Game in progress at grading - outcome irrelevant to an unfilled order.</t>
        </is>
      </c>
    </row>
    <row r="31">
      <c r="A31" s="2" t="inlineStr">
        <is>
          <t>2026-08-10</t>
        </is>
      </c>
      <c r="B31" s="2" t="inlineStr">
        <is>
          <t>KC @ LAD (10:10 PM ET Mon - Skubal home debut)</t>
        </is>
      </c>
      <c r="C31" s="2" t="inlineStr">
        <is>
          <t>Moneyline refused (conflict rule)</t>
        </is>
      </c>
      <c r="D31" s="2" t="inlineStr">
        <is>
          <t>refusal</t>
        </is>
      </c>
      <c r="E31" s="3" t="n"/>
      <c r="F31" s="3" t="n"/>
      <c r="G31" s="4" t="n">
        <v>0</v>
      </c>
      <c r="H31" s="2" t="inlineStr">
        <is>
          <t>validated</t>
        </is>
      </c>
      <c r="I31" s="5" t="n">
        <v>0</v>
      </c>
      <c r="J31" s="6" t="n"/>
      <c r="K31" s="6" t="n"/>
      <c r="L31" s="2" t="inlineStr">
        <is>
          <t>conflict</t>
        </is>
      </c>
      <c r="M31" s="2" t="inlineStr">
        <is>
          <t>worked</t>
        </is>
      </c>
      <c r="N31" s="2" t="inlineStr">
        <is>
          <t>VALIDATED, with the sharpest twist yet: the definitive Monday close was LAD -325/-330 (FanDuel + 'other oddsmakers' + Polymarket 74c all agree near 76%) - the -160 board we saw was itself a stale/erroneous print. The conflict was real, and this time the BOOK leg was the garbage and the prediction market was near truth (mirror of the Aug-1 stale 'CHC 1.62'). The rule doesn't care which source lies - it refuses the disagreement. LAD needed a 7th-inning rally to win 6-5. 7-for-7 on refusals/flags.</t>
        </is>
      </c>
    </row>
    <row r="32">
      <c r="A32" s="2" t="inlineStr">
        <is>
          <t>2026-08-11</t>
        </is>
      </c>
      <c r="B32" s="2" t="inlineStr">
        <is>
          <t>CLE @ DET (6:40 PM ET Tue, Comerica)</t>
        </is>
      </c>
      <c r="C32" s="2" t="inlineStr">
        <is>
          <t>Tigers ML</t>
        </is>
      </c>
      <c r="D32" s="2" t="inlineStr">
        <is>
          <t>order_unfilled</t>
        </is>
      </c>
      <c r="E32" s="3" t="n">
        <v>2.164</v>
      </c>
      <c r="F32" s="3" t="n"/>
      <c r="G32" s="4" t="n">
        <v>0</v>
      </c>
      <c r="H32" s="2" t="inlineStr">
        <is>
          <t>no fill</t>
        </is>
      </c>
      <c r="I32" s="5" t="n">
        <v>0</v>
      </c>
      <c r="J32" s="6" t="n"/>
      <c r="K32" s="6" t="n"/>
      <c r="L32" s="2" t="inlineStr">
        <is>
          <t>clean</t>
        </is>
      </c>
      <c r="M32" s="2" t="inlineStr">
        <is>
          <t>worked</t>
        </is>
      </c>
      <c r="N32" s="2" t="inlineStr">
        <is>
          <t>NOT FILLED - the market ran the other way, hard: DET +113 Monday night -&gt; -120/-121 favorite at first pitch. No +116 ever printed. DET won 6-4, so another would-have-won missed - but the swing's SIZE is the lesson: an overnight board can embed a different starting pitcher than game-day reality (Drew Anderson started). Listed-pitcher rule: every future order names its assumed starters, and a change voids the premise (Skenes-scratch lesson, Jul 30, finally codified).</t>
        </is>
      </c>
    </row>
    <row r="33">
      <c r="A33" s="2" t="inlineStr">
        <is>
          <t>2026-08-11</t>
        </is>
      </c>
      <c r="B33" s="2" t="inlineStr">
        <is>
          <t>TB @ ATH (9:40 PM ET Tue)</t>
        </is>
      </c>
      <c r="C33" s="2" t="inlineStr">
        <is>
          <t>Rays ML</t>
        </is>
      </c>
      <c r="D33" s="2" t="inlineStr">
        <is>
          <t>order_unfilled</t>
        </is>
      </c>
      <c r="E33" s="3" t="n">
        <v>1.72</v>
      </c>
      <c r="F33" s="3" t="n"/>
      <c r="G33" s="4" t="n">
        <v>0</v>
      </c>
      <c r="H33" s="2" t="inlineStr">
        <is>
          <t>no fill</t>
        </is>
      </c>
      <c r="I33" s="5" t="n">
        <v>0</v>
      </c>
      <c r="J33" s="6" t="n"/>
      <c r="K33" s="6" t="n"/>
      <c r="L33" s="2" t="inlineStr">
        <is>
          <t>clean</t>
        </is>
      </c>
      <c r="M33" s="2" t="inlineStr">
        <is>
          <t>worked</t>
        </is>
      </c>
      <c r="N33" s="2" t="inlineStr">
        <is>
          <t>NOT FILLED - TB shortened -146 -&gt; -180 and won 12-4. Fourth straight unfilled order whose side won. Tempting to call the bar too high; the ledger says otherwise - the only two orders that DID fill both carried negative CLV and went 1-1. Unfilled winners are the visible cost of refusing bad prices; filled losers are the invisible cost of chasing. No parameter change (Walters rule).</t>
        </is>
      </c>
    </row>
    <row r="34">
      <c r="A34" s="2" t="inlineStr">
        <is>
          <t>2026-08-11</t>
        </is>
      </c>
      <c r="B34" s="2" t="inlineStr">
        <is>
          <t>KC @ LAD (10:10 PM ET Tue)</t>
        </is>
      </c>
      <c r="C34" s="2" t="inlineStr">
        <is>
          <t>Moneyline refused (conflict rule, day 2)</t>
        </is>
      </c>
      <c r="D34" s="2" t="inlineStr">
        <is>
          <t>refusal</t>
        </is>
      </c>
      <c r="E34" s="3" t="n"/>
      <c r="F34" s="3" t="n"/>
      <c r="G34" s="4" t="n">
        <v>0</v>
      </c>
      <c r="H34" s="2" t="inlineStr">
        <is>
          <t>validated</t>
        </is>
      </c>
      <c r="I34" s="5" t="n">
        <v>0</v>
      </c>
      <c r="J34" s="6" t="n"/>
      <c r="K34" s="6" t="n"/>
      <c r="L34" s="2" t="inlineStr">
        <is>
          <t>conflict</t>
        </is>
      </c>
      <c r="M34" s="2" t="inlineStr">
        <is>
          <t>worked</t>
        </is>
      </c>
      <c r="N34" s="2" t="inlineStr">
        <is>
          <t>Book LAD -285 vs Polymarket 72c: nearly agreeing today, but cross-source best prices still net -0.99% hold - the rule is binary and fires the same on small conflicts as wide ones (that binariness is the Cubs-3.7pt lesson). 6th application. Monday's refusal grades at its close next cycle alongside this one. || SETTLED: close LAD -275 (~70-71% no-vig) vs Polymarket 72c - the sources converged AT the close, meaning no exploitable edge ever existed. LAD won 5-4. Refusals now 8-for-8.</t>
        </is>
      </c>
    </row>
    <row r="35">
      <c r="A35" s="2" t="inlineStr">
        <is>
          <t>2026-08-12</t>
        </is>
      </c>
      <c r="B35" s="2" t="inlineStr">
        <is>
          <t>NYM @ ATL (7:15 PM ET Wed; PITCHERS: Thornton vs Mahle)</t>
        </is>
      </c>
      <c r="C35" s="2" t="inlineStr">
        <is>
          <t>Braves ML</t>
        </is>
      </c>
      <c r="D35" s="2" t="inlineStr">
        <is>
          <t>order_unfilled</t>
        </is>
      </c>
      <c r="E35" s="3" t="n">
        <v>1.666</v>
      </c>
      <c r="F35" s="3" t="n"/>
      <c r="G35" s="4" t="n">
        <v>0</v>
      </c>
      <c r="H35" s="2" t="inlineStr">
        <is>
          <t>no fill</t>
        </is>
      </c>
      <c r="I35" s="5" t="n">
        <v>0</v>
      </c>
      <c r="J35" s="6" t="n"/>
      <c r="K35" s="6" t="n"/>
      <c r="L35" s="2" t="inlineStr">
        <is>
          <t>clean</t>
        </is>
      </c>
      <c r="M35" s="2" t="inlineStr">
        <is>
          <t>worked</t>
        </is>
      </c>
      <c r="N35" s="2" t="inlineStr">
        <is>
          <t>NOT FILLED - the board moved the wrong way all day (-156 -&gt; -158/-175 close); -150 never printed. ATL won 6-3: the FIFTH straight unfilled order whose side won. Pattern reading: our fairs are directionally right and the market agrees too fast to pay our price - which is what near-parity Brier with the close predicts. The bar stays (Walters rule); the edge has to come from being earlier, not looser.</t>
        </is>
      </c>
    </row>
    <row r="36">
      <c r="A36" s="2" t="inlineStr">
        <is>
          <t>2026-08-12</t>
        </is>
      </c>
      <c r="B36" s="2" t="inlineStr">
        <is>
          <t>ATP Montreal SF: Jodar vs Nakashima (6:00 PM ET Wed)</t>
        </is>
      </c>
      <c r="C36" s="2" t="inlineStr">
        <is>
          <t>Nakashima ML</t>
        </is>
      </c>
      <c r="D36" s="2" t="inlineStr">
        <is>
          <t>order_filled_paper</t>
        </is>
      </c>
      <c r="E36" s="3" t="n">
        <v>2.969</v>
      </c>
      <c r="F36" s="3" t="n">
        <v>2.969</v>
      </c>
      <c r="G36" s="4" t="n">
        <v>0</v>
      </c>
      <c r="H36" s="2" t="inlineStr">
        <is>
          <t>won</t>
        </is>
      </c>
      <c r="I36" s="5" t="n">
        <v>0</v>
      </c>
      <c r="J36" s="6" t="n">
        <v>0.009900000000000001</v>
      </c>
      <c r="K36" s="6" t="n">
        <v>-0.0173</v>
      </c>
      <c r="L36" s="2" t="inlineStr">
        <is>
          <t>clean</t>
        </is>
      </c>
      <c r="M36" s="2" t="inlineStr">
        <is>
          <t>worked</t>
        </is>
      </c>
      <c r="N36" s="2" t="inlineStr">
        <is>
          <t>FILL CONDITION MET VIA CROSS-BOOK SHOPPING - AND WON. +200 (&gt;= the +197 trigger) was genuinely available at a book pre-match while Dimers' board showed +188; Nakashima won 7-6(3) 6-4. At the 2.969 floor vs the 2.94 close: raw CLV +1.0%, no-vig -1.7% - the first fill in this ledger with POSITIVE RAW CLV and the best fill-CLV recorded (prior fills: -5.4% and -3.1% no-vig), precisely because it came from price dispersion across books (allowed) rather than line drift (forbidden). The drift-vs-shopping distinction now has favorable evidence on the shopping side. Paper grade, stake 0 - backup order, user bets headline only.</t>
        </is>
      </c>
    </row>
    <row r="37">
      <c r="A37" s="2" t="inlineStr">
        <is>
          <t>2026-08-12</t>
        </is>
      </c>
      <c r="B37" s="2" t="inlineStr">
        <is>
          <t>SEA @ NYY (7:05 PM ET Wed; PITCHERS: Miller vs Warren)</t>
        </is>
      </c>
      <c r="C37" s="2" t="inlineStr">
        <is>
          <t>Yankees ML</t>
        </is>
      </c>
      <c r="D37" s="2" t="inlineStr">
        <is>
          <t>order_unfilled</t>
        </is>
      </c>
      <c r="E37" s="3" t="n">
        <v>1.893</v>
      </c>
      <c r="F37" s="3" t="n"/>
      <c r="G37" s="4" t="n">
        <v>0</v>
      </c>
      <c r="H37" s="2" t="inlineStr">
        <is>
          <t>no fill</t>
        </is>
      </c>
      <c r="I37" s="5" t="n">
        <v>0</v>
      </c>
      <c r="J37" s="6" t="n"/>
      <c r="K37" s="6" t="n"/>
      <c r="L37" s="2" t="inlineStr">
        <is>
          <t>clean</t>
        </is>
      </c>
      <c r="M37" s="2" t="inlineStr">
        <is>
          <t>worked</t>
        </is>
      </c>
      <c r="N37" s="2" t="inlineStr">
        <is>
          <t>NOT FILLED - opened -119 and firmed to -131; the -112 trigger never printed. NYY won 10-5 anyway (sixth unfilled winner if you count this one alongside the ATL streak).</t>
        </is>
      </c>
    </row>
    <row r="38">
      <c r="A38" s="2" t="inlineStr">
        <is>
          <t>2026-08-13</t>
        </is>
      </c>
      <c r="B38" s="2" t="inlineStr">
        <is>
          <t>MIL @ LAD (10:10 PM ET Thu; PITCHERS: Drohan vs Sasaki)</t>
        </is>
      </c>
      <c r="C38" s="2" t="inlineStr">
        <is>
          <t>Brewers ML</t>
        </is>
      </c>
      <c r="D38" s="2" t="inlineStr">
        <is>
          <t>order_unfilled</t>
        </is>
      </c>
      <c r="E38" s="3" t="n">
        <v>2.353</v>
      </c>
      <c r="F38" s="3" t="n"/>
      <c r="G38" s="4" t="n">
        <v>0</v>
      </c>
      <c r="H38" s="2" t="inlineStr">
        <is>
          <t>no fill</t>
        </is>
      </c>
      <c r="I38" s="5" t="n">
        <v>0</v>
      </c>
      <c r="J38" s="6" t="n"/>
      <c r="K38" s="6" t="n"/>
      <c r="L38" s="2" t="inlineStr">
        <is>
          <t>clean</t>
        </is>
      </c>
      <c r="M38" s="2" t="inlineStr">
        <is>
          <t>worked</t>
        </is>
      </c>
      <c r="N38" s="2" t="inlineStr">
        <is>
          <t>NOT FILLED - EdgeBets' 8-book closing recap tops MIL out at +129 (range +115/+129, consensus +123/+125); the +136 trigger never printed anywhere. Both listed pitchers started (Shane Drohan vs Sasaki) so the premise held; the price just never came. MIL won 5-4 on a 3-run 9th - the SEVENTH unfilled order whose side won. The bar stays (Walters rule): the two orders that ever DID fill via drift carried the ledger's worst CLV.</t>
        </is>
      </c>
    </row>
    <row r="39">
      <c r="A39" s="2" t="inlineStr">
        <is>
          <t>2026-08-13</t>
        </is>
      </c>
      <c r="B39" s="2" t="inlineStr">
        <is>
          <t>PHI @ MIN, Field of Dreams (7:30 PM ET; Nola vs Bradley; RAIN RISK)</t>
        </is>
      </c>
      <c r="C39" s="2" t="inlineStr">
        <is>
          <t>Over 8.5</t>
        </is>
      </c>
      <c r="D39" s="2" t="inlineStr">
        <is>
          <t>order_unfilled</t>
        </is>
      </c>
      <c r="E39" s="3" t="n">
        <v>1.937</v>
      </c>
      <c r="F39" s="3" t="n"/>
      <c r="G39" s="4" t="n">
        <v>0</v>
      </c>
      <c r="H39" s="2" t="inlineStr">
        <is>
          <t>no fill</t>
        </is>
      </c>
      <c r="I39" s="5" t="n">
        <v>0</v>
      </c>
      <c r="J39" s="6" t="n"/>
      <c r="K39" s="6" t="n"/>
      <c r="L39" s="2" t="inlineStr">
        <is>
          <t>clean</t>
        </is>
      </c>
      <c r="M39" s="2" t="inlineStr">
        <is>
          <t>worked</t>
        </is>
      </c>
      <c r="N39" s="2" t="inlineStr">
        <is>
          <t>NOT FILLED - Over sat -118/-120 all day and never reached the -107 trigger. Game went UNDER (8 runs): the FIRST unfilled order whose side LOST, i.e. the bar's first visible counterfactual save (~$40 at quarter-Kelly). The unfilled-order ledger is now 7 winners, 1 loser - and the loser is the one the bar refused to pay for. First graded third-party total model (SportsLine 60.2% over): WRONG. Rain clause never triggered - played as scheduled.</t>
        </is>
      </c>
    </row>
    <row r="40">
      <c r="A40" s="2" t="inlineStr">
        <is>
          <t>2026-08-13</t>
        </is>
      </c>
      <c r="B40" s="2" t="inlineStr">
        <is>
          <t>PHI @ MIN, Field of Dreams (same game)</t>
        </is>
      </c>
      <c r="C40" s="2" t="inlineStr">
        <is>
          <t>Phillies ML</t>
        </is>
      </c>
      <c r="D40" s="2" t="inlineStr">
        <is>
          <t>order_unfilled</t>
        </is>
      </c>
      <c r="E40" s="3" t="n">
        <v>2.063</v>
      </c>
      <c r="F40" s="3" t="n"/>
      <c r="G40" s="4" t="n">
        <v>0</v>
      </c>
      <c r="H40" s="2" t="inlineStr">
        <is>
          <t>no fill</t>
        </is>
      </c>
      <c r="I40" s="5" t="n">
        <v>0</v>
      </c>
      <c r="J40" s="6" t="n"/>
      <c r="K40" s="6" t="n"/>
      <c r="L40" s="2" t="inlineStr">
        <is>
          <t>clean</t>
        </is>
      </c>
      <c r="M40" s="2" t="inlineStr">
        <is>
          <t>worked</t>
        </is>
      </c>
      <c r="N40" s="2" t="inlineStr">
        <is>
          <t>NOT FILLED - PHI ranged -102/-104 all day and closed ~-103 (SBR); the +106 trigger needed plus-money that never printed. PHI won 7-1 (Schwarber 2 HR) - the EIGHTH unfilled order graded, 7 of whose sides won.</t>
        </is>
      </c>
    </row>
    <row r="41">
      <c r="A41" s="2" t="inlineStr">
        <is>
          <t>2026-08-15</t>
        </is>
      </c>
      <c r="B41" s="2" t="inlineStr">
        <is>
          <t>KC @ LAA (9:38 PM ET Sat; PITCHERS: Dobnak vs Detmers)</t>
        </is>
      </c>
      <c r="C41" s="2" t="inlineStr">
        <is>
          <t>Royals ML</t>
        </is>
      </c>
      <c r="D41" s="2" t="inlineStr">
        <is>
          <t>order_unfilled</t>
        </is>
      </c>
      <c r="E41" s="3" t="n">
        <v>2.465</v>
      </c>
      <c r="F41" s="3" t="n"/>
      <c r="G41" s="4" t="n">
        <v>0</v>
      </c>
      <c r="H41" s="2" t="inlineStr">
        <is>
          <t>no fill</t>
        </is>
      </c>
      <c r="I41" s="5" t="n">
        <v>0</v>
      </c>
      <c r="J41" s="6" t="n"/>
      <c r="K41" s="6" t="n"/>
      <c r="L41" s="2" t="inlineStr">
        <is>
          <t>clean</t>
        </is>
      </c>
      <c r="M41" s="2" t="inlineStr">
        <is>
          <t>worked</t>
        </is>
      </c>
      <c r="N41" s="2" t="inlineStr">
        <is>
          <t>NOT FILLED - KC never evidenced past +135 (trigger +147) and Polymarket sat pinned at the 41c board price all day; no 40.5c ask printed. Fill oracle open: if your execution says otherwise, report and I regrade. COUNTERFACTUAL SAVE #2, and the biggest yet: KC was SHUT OUT 1-0 (Detmers 8 scoreless, 11 K). The closest-to-live order in ledger history would have lost at any fill price. Dobnak/Detmers premise held.</t>
        </is>
      </c>
    </row>
    <row r="42">
      <c r="A42" s="2" t="inlineStr">
        <is>
          <t>2026-08-15</t>
        </is>
      </c>
      <c r="B42" s="2" t="inlineStr">
        <is>
          <t>SD @ CLE (7:10 PM ET Sat; ASSUMED pitchers Vasquez-SD vs Cantillo-CLE, side-assignment UNVERIFIED)</t>
        </is>
      </c>
      <c r="C42" s="2" t="inlineStr">
        <is>
          <t>Padres ML</t>
        </is>
      </c>
      <c r="D42" s="2" t="inlineStr">
        <is>
          <t>order_void</t>
        </is>
      </c>
      <c r="E42" s="3" t="n">
        <v>2.268</v>
      </c>
      <c r="F42" s="3" t="n"/>
      <c r="G42" s="4" t="n">
        <v>0</v>
      </c>
      <c r="H42" s="2" t="inlineStr">
        <is>
          <t>void</t>
        </is>
      </c>
      <c r="I42" s="5" t="n">
        <v>0</v>
      </c>
      <c r="J42" s="6" t="n"/>
      <c r="K42" s="6" t="n"/>
      <c r="L42" s="2" t="inlineStr">
        <is>
          <t>clean</t>
        </is>
      </c>
      <c r="M42" s="2" t="inlineStr">
        <is>
          <t>worked</t>
        </is>
      </c>
      <c r="N42" s="2" t="inlineStr">
        <is>
          <t>VOID ON THE PREMISE CLAUSE, and unfilled anyway: San Diego ran a Wandy Peralta OPENER instead of listed probable Vasquez (Cantillo did start for CLE), and the written clause - 'void unless the pairing is confirmed at bet time' - fired exactly as designed. The price also ran away (+118 -&gt; +105, never +127). SD lost 6-1: save #3 on the same card.</t>
        </is>
      </c>
    </row>
    <row r="43">
      <c r="A43" s="2" t="inlineStr">
        <is>
          <t>2026-08-15</t>
        </is>
      </c>
      <c r="B43" s="2" t="inlineStr">
        <is>
          <t>STL @ CHC (2:20 PM ET Sat; PITCHERS: McGreevy vs Boyd)</t>
        </is>
      </c>
      <c r="C43" s="2" t="inlineStr">
        <is>
          <t>Cubs ML</t>
        </is>
      </c>
      <c r="D43" s="2" t="inlineStr">
        <is>
          <t>order_unfilled</t>
        </is>
      </c>
      <c r="E43" s="3" t="n">
        <v>1.673</v>
      </c>
      <c r="F43" s="3" t="n"/>
      <c r="G43" s="4" t="n">
        <v>0</v>
      </c>
      <c r="H43" s="2" t="inlineStr">
        <is>
          <t>no fill</t>
        </is>
      </c>
      <c r="I43" s="5" t="n">
        <v>0</v>
      </c>
      <c r="J43" s="6" t="n"/>
      <c r="K43" s="6" t="n"/>
      <c r="L43" s="2" t="inlineStr">
        <is>
          <t>clean</t>
        </is>
      </c>
      <c r="M43" s="2" t="inlineStr">
        <is>
          <t>worked</t>
        </is>
      </c>
      <c r="N43" s="2" t="inlineStr">
        <is>
          <t>NOT FILLED - CHC shortened hard from -166 to -174/-185 closes; -149 never printed. McGreevy/Boyd started as listed - and Boyd (8-1) was tagged for three Baez HRs in an 8-4 loss. Save #4... third of THREE on this card alone. Every Saturday order's side lost; the bar refused all of them.</t>
        </is>
      </c>
    </row>
    <row r="44">
      <c r="A44" s="2" t="inlineStr">
        <is>
          <t>2026-08-15</t>
        </is>
      </c>
      <c r="B44" s="2" t="inlineStr">
        <is>
          <t>MIL @ LAD rematch (7:15 PM ET Sat; Misiorowski vs TBD)</t>
        </is>
      </c>
      <c r="C44" s="2" t="inlineStr">
        <is>
          <t>no side - market refused</t>
        </is>
      </c>
      <c r="D44" s="2" t="inlineStr">
        <is>
          <t>refusal</t>
        </is>
      </c>
      <c r="E44" s="3" t="n"/>
      <c r="F44" s="3" t="n"/>
      <c r="G44" s="4" t="n">
        <v>0</v>
      </c>
      <c r="H44" s="2" t="inlineStr">
        <is>
          <t>resolved - anchor real</t>
        </is>
      </c>
      <c r="I44" s="5" t="n">
        <v>0</v>
      </c>
      <c r="J44" s="6" t="n"/>
      <c r="K44" s="6" t="n"/>
      <c r="L44" s="2" t="inlineStr">
        <is>
          <t>degraded</t>
        </is>
      </c>
      <c r="M44" s="2" t="inlineStr">
        <is>
          <t>flagged</t>
        </is>
      </c>
      <c r="N44" s="2" t="inlineStr">
        <is>
          <t>REFUSAL #9 (rule is 8-for-8 lifetime). Thursday's showdown rerun, now with MIL the AWAY FAVORITE at DK -142 while numberFire says LAD 52.9%, our log5 says LAD 53.0%, and Polymarket (MIL 53c) sides with the book. Best-price cross-hold LAD 2.18 book + MIL 53c PM = 98.9c round trip: negative hold on a 0.6-sharpness anchor = conflicting quotes, not an arb. Both prior KC@LAD refusals resolved as one side being a garbage print - we don't know which side is garbage here either, and that is exactly the point. || SETTLED, and this one is DIFFERENT from refusals 1-8: the DK -142 was REAL (market-wide close MIL -130/-142; Misiorowski 6 IP 1 R, MIL won 4-1). Polymarket 53c was not garbage either - it was LAGGING a sharp ace-driven move, which is what produced the negative cross-hold. First refusal triggered by genuine price dispersion rather than a garbage print - and the refused market contained the winning side at the dispersed price (MIL 53c). Also true: our in-house/numberFire LAD lean was flat wrong. Scoreboard: 8-for-8 catching garbage, 0-for-1 on lag. No rule change on n=1 (Walters); distinction logged.</t>
        </is>
      </c>
    </row>
    <row r="45">
      <c r="A45" s="2" t="inlineStr">
        <is>
          <t>2026-08-18</t>
        </is>
      </c>
      <c r="B45" s="2" t="inlineStr">
        <is>
          <t>SEA @ MIL (7:40 PM ET Tue, American Family Field; PITCHERS: Miller vs Harrison)</t>
        </is>
      </c>
      <c r="C45" s="2" t="inlineStr">
        <is>
          <t>Brewers ML</t>
        </is>
      </c>
      <c r="D45" s="2" t="inlineStr">
        <is>
          <t>order_unfilled</t>
        </is>
      </c>
      <c r="E45" s="3" t="n">
        <v>1.761</v>
      </c>
      <c r="F45" s="3" t="n"/>
      <c r="G45" s="4" t="n">
        <v>0</v>
      </c>
      <c r="H45" s="2" t="inlineStr">
        <is>
          <t>no fill</t>
        </is>
      </c>
      <c r="I45" s="5" t="n">
        <v>0</v>
      </c>
      <c r="J45" s="6" t="n"/>
      <c r="K45" s="6" t="n"/>
      <c r="L45" s="2" t="inlineStr">
        <is>
          <t>clean</t>
        </is>
      </c>
      <c r="M45" s="2" t="inlineStr">
        <is>
          <t>worked</t>
        </is>
      </c>
      <c r="N45" s="2" t="inlineStr">
        <is>
          <t>NOT FILLED - the trigger was -131 or better and the market moved the WRONG way from the first print: -148 early -&gt; -150 open -&gt; -159/-160/-165 -&gt; -168 close. No book ever came within 17 cents of the trigger; no drift-through, so no re-price question. MIL then won 22-0, so the side won - but the close (61.6% no-vig) steamed PAST our 58.2% fair, meaning even a -148 take would have been the slow side of a sharp move our own model layer (60.7% MIL) partly anticipated. CORRECTED RUNNING TALLY of every order that never filled (incl. the voided SD premise): sides are now 9W-4L across 13 (Swiatek, CIN, DET, TB, ATL, NYY, MIL 8/13, PHI 8/13, MIL 8/18 won; FoD Over, KC, CHC, SD lost) - earlier notes' 7W counts undercounted by one, fixed here. Fill oracle stands: report an execution and I regrade.</t>
        </is>
      </c>
    </row>
    <row r="46">
      <c r="A46" s="2" t="inlineStr">
        <is>
          <t>2026-08-20</t>
        </is>
      </c>
      <c r="B46" s="2" t="inlineStr">
        <is>
          <t>Mirassol @ LDU Quito, Libertadores R16 leg 2 (6:00 PM ET Thu, Quito, 2850m; agg 1-1)</t>
        </is>
      </c>
      <c r="C46" s="2" t="inlineStr">
        <is>
          <t>LDU Quito ML (3-way; draw/away lose)</t>
        </is>
      </c>
      <c r="D46" s="2" t="inlineStr">
        <is>
          <t>order_unfilled</t>
        </is>
      </c>
      <c r="E46" s="3" t="n">
        <v>1.682</v>
      </c>
      <c r="F46" s="3" t="n"/>
      <c r="G46" s="4" t="n">
        <v>0</v>
      </c>
      <c r="H46" s="2" t="inlineStr">
        <is>
          <t>no fill</t>
        </is>
      </c>
      <c r="I46" s="5" t="n">
        <v>0</v>
      </c>
      <c r="J46" s="6" t="n"/>
      <c r="K46" s="6" t="n"/>
      <c r="L46" s="2" t="inlineStr">
        <is>
          <t>degraded</t>
        </is>
      </c>
      <c r="M46" s="2" t="inlineStr">
        <is>
          <t>worked</t>
        </is>
      </c>
      <c r="N46" s="2" t="inlineStr">
        <is>
          <t>NOT FILLED - no named book was ever pinned at 1.682+ (an unattributed ESPN-visible -145 = 1.690 existed but Pinnacle sat 1.55 simultaneously; the live-single-book-only condition was written for exactly this). COUNTERFACTUAL SAVE #5: the 90-min result was 0-0 - a fill would have LOST even as LDU advanced on penalties. Pricing lesson logged: the 1.60 averaged anchor sat between a 1.55 sharp and a 1.69 soft quote, so the order's 'edge' was partly anchor softness - averaged trios stay consensus-c and live-only forever. Never-filled sides: 9W-5L at this point in the pass.</t>
        </is>
      </c>
    </row>
    <row r="47">
      <c r="A47" s="2" t="inlineStr">
        <is>
          <t>2026-08-20</t>
        </is>
      </c>
      <c r="B47" s="2" t="inlineStr">
        <is>
          <t>Dream @ Sparks, WNBA (10:00 PM ET Thu, Crypto.com Arena)</t>
        </is>
      </c>
      <c r="C47" s="2" t="inlineStr">
        <is>
          <t>Dream ML</t>
        </is>
      </c>
      <c r="D47" s="2" t="inlineStr">
        <is>
          <t>order_void</t>
        </is>
      </c>
      <c r="E47" s="3" t="n">
        <v>1.34</v>
      </c>
      <c r="F47" s="3" t="n"/>
      <c r="G47" s="4" t="n">
        <v>0</v>
      </c>
      <c r="H47" s="2" t="inlineStr">
        <is>
          <t>void</t>
        </is>
      </c>
      <c r="I47" s="5" t="n">
        <v>0</v>
      </c>
      <c r="J47" s="6" t="n"/>
      <c r="K47" s="6" t="n"/>
      <c r="L47" s="2" t="inlineStr">
        <is>
          <t>degraded</t>
        </is>
      </c>
      <c r="M47" s="2" t="inlineStr">
        <is>
          <t>worked</t>
        </is>
      </c>
      <c r="N47" s="2" t="inlineStr">
        <is>
          <t>VOID ON THE PREMISE CLAUSE, pre-game and result-independent: Brionna Jones was ruled OUT for the Dream (left leg, third straight miss) on final injury reports dated to this game - the pre-registered condition 'void if B. Jones or Reese is OUT' fired exactly as written. (Reese played; the 'questionable' chatter traced to July articles and was discarded on date discipline.) Second premise-clause void in a week (SD Padres opener was the first) - the clause class is earning its keep. No stake, no fill, no grade.</t>
        </is>
      </c>
    </row>
    <row r="48">
      <c r="A48" s="2" t="inlineStr">
        <is>
          <t>2026-08-20</t>
        </is>
      </c>
      <c r="B48" s="2" t="inlineStr">
        <is>
          <t>49ers @ Chargers, NFL preseason Wk 2 (10:00 PM ET Thu, SoFi)</t>
        </is>
      </c>
      <c r="C48" s="2" t="inlineStr">
        <is>
          <t>49ers ML</t>
        </is>
      </c>
      <c r="D48" s="2" t="inlineStr">
        <is>
          <t>order_unfilled</t>
        </is>
      </c>
      <c r="E48" s="3" t="n">
        <v>1.879</v>
      </c>
      <c r="F48" s="3" t="n"/>
      <c r="G48" s="4" t="n">
        <v>0</v>
      </c>
      <c r="H48" s="2" t="inlineStr">
        <is>
          <t>no fill</t>
        </is>
      </c>
      <c r="I48" s="5" t="n">
        <v>0</v>
      </c>
      <c r="J48" s="6" t="n"/>
      <c r="K48" s="6" t="n"/>
      <c r="L48" s="2" t="inlineStr">
        <is>
          <t>clean</t>
        </is>
      </c>
      <c r="M48" s="2" t="inlineStr">
        <is>
          <t>worked</t>
        </is>
      </c>
      <c r="N48" s="2" t="inlineStr">
        <is>
          <t>NOT FILLED on post-ship evidence - SF only SHORTENED after our card (board 1.769 -&gt; DK close 1.80... vs LAC flipping to dog the line moved through -118 to -125; an SF +102 quote exists but traces to early-week, pre-card). No post-ship 1.879+ at a named book evidenced; fill oracle open. SF won 41-17 - a would-have-won missed at the bar's usual price of discipline.</t>
        </is>
      </c>
    </row>
    <row r="49">
      <c r="A49" s="2" t="inlineStr">
        <is>
          <t>2026-08-21</t>
        </is>
      </c>
      <c r="B49" s="2" t="inlineStr">
        <is>
          <t>America @ Juarez, Liga MX J5 (11:00 PM ET Fri, Estadio Olimpico Benito Juarez)</t>
        </is>
      </c>
      <c r="C49" s="2" t="inlineStr">
        <is>
          <t>Club America ML (3-way; draw/home lose)</t>
        </is>
      </c>
      <c r="D49" s="2" t="inlineStr">
        <is>
          <t>order_unfilled</t>
        </is>
      </c>
      <c r="E49" s="3" t="n">
        <v>1.945</v>
      </c>
      <c r="F49" s="3" t="n"/>
      <c r="G49" s="4" t="n">
        <v>0</v>
      </c>
      <c r="H49" s="2" t="inlineStr">
        <is>
          <t>no fill</t>
        </is>
      </c>
      <c r="I49" s="5" t="n">
        <v>0</v>
      </c>
      <c r="J49" s="6" t="n"/>
      <c r="K49" s="6" t="n"/>
      <c r="L49" s="2" t="inlineStr">
        <is>
          <t>clean</t>
        </is>
      </c>
      <c r="M49" s="2" t="inlineStr">
        <is>
          <t>worked</t>
        </is>
      </c>
      <c r="N49" s="2" t="inlineStr">
        <is>
          <t>NOT FILLED - the 1.945 trigger sat above the ENTIRE market all day (best anywhere: a 1.85 aggregate leg; consensus close ~1.76-1.77) and the market shortened toward America, who won 2-1. A would-have-won at a price that never existed - the bar's usual cost. Our Codere 1.82 anchor graded honest (slightly above close); the scary Bet365 -241 capture from Friday night was a bad aggregator read, not the market.</t>
        </is>
      </c>
    </row>
    <row r="50">
      <c r="A50" s="2" t="inlineStr">
        <is>
          <t>2026-08-21</t>
        </is>
      </c>
      <c r="B50" s="2" t="inlineStr">
        <is>
          <t>Coventry @ Arsenal, EPL opener (3:00 PM ET Fri, Emirates)</t>
        </is>
      </c>
      <c r="C50" s="2" t="inlineStr">
        <is>
          <t>Arsenal ML (3-way)</t>
        </is>
      </c>
      <c r="D50" s="2" t="inlineStr">
        <is>
          <t>order_unfilled</t>
        </is>
      </c>
      <c r="E50" s="3" t="n">
        <v>1.224</v>
      </c>
      <c r="F50" s="3" t="n"/>
      <c r="G50" s="4" t="n">
        <v>0</v>
      </c>
      <c r="H50" s="2" t="inlineStr">
        <is>
          <t>no fill</t>
        </is>
      </c>
      <c r="I50" s="5" t="n">
        <v>0</v>
      </c>
      <c r="J50" s="6" t="n"/>
      <c r="K50" s="6" t="n"/>
      <c r="L50" s="2" t="inlineStr">
        <is>
          <t>clean</t>
        </is>
      </c>
      <c r="M50" s="2" t="inlineStr">
        <is>
          <t>worked</t>
        </is>
      </c>
      <c r="N50" s="2" t="inlineStr">
        <is>
          <t>NOT FILLED - best named-book price all day was DK -475 (1.211); the 1.224 trigger never printed (FanDuel closed -550). Arsenal won 3-0: a would-have-won that never offered the price. The extreme-favorite demotion was correct: the market's ceiling sat below our bar all day.</t>
        </is>
      </c>
    </row>
    <row r="51">
      <c r="A51" s="2" t="inlineStr">
        <is>
          <t>2026-08-21</t>
        </is>
      </c>
      <c r="B51" s="2" t="inlineStr">
        <is>
          <t>Coventry @ Arsenal, same match - total 2.5</t>
        </is>
      </c>
      <c r="C51" s="2" t="inlineStr">
        <is>
          <t>Over 2.5</t>
        </is>
      </c>
      <c r="D51" s="2" t="inlineStr">
        <is>
          <t>order_unfilled</t>
        </is>
      </c>
      <c r="E51" s="3" t="n">
        <v>1.662</v>
      </c>
      <c r="F51" s="3" t="n"/>
      <c r="G51" s="4" t="n">
        <v>0</v>
      </c>
      <c r="H51" s="2" t="inlineStr">
        <is>
          <t>no fill</t>
        </is>
      </c>
      <c r="I51" s="5" t="n">
        <v>0</v>
      </c>
      <c r="J51" s="6" t="n"/>
      <c r="K51" s="6" t="n"/>
      <c r="L51" s="2" t="inlineStr">
        <is>
          <t>clean</t>
        </is>
      </c>
      <c r="M51" s="2" t="inlineStr">
        <is>
          <t>worked</t>
        </is>
      </c>
      <c r="N51" s="2" t="inlineStr">
        <is>
          <t>NOT FILLED - Over 2.5 closed -176/-181 (1.552-1.568); the 1.662 trigger never evidenced. It landed (3 goals) and SportsLine's 64% graded RIGHT on its first EPL outing - a model note for the file, priced away by the market. Never-filled sides after this pass: 12W-5L across 17.</t>
        </is>
      </c>
    </row>
    <row r="52">
      <c r="A52" s="2" t="inlineStr">
        <is>
          <t>2026-08-21</t>
        </is>
      </c>
      <c r="B52" s="2" t="inlineStr">
        <is>
          <t>Jets @ Steelers, NFL preseason Wk 2 (7:00 PM ET Fri, Acrisure)</t>
        </is>
      </c>
      <c r="C52" s="2" t="inlineStr">
        <is>
          <t>Jets ML</t>
        </is>
      </c>
      <c r="D52" s="2" t="inlineStr">
        <is>
          <t>order_filled_paper</t>
        </is>
      </c>
      <c r="E52" s="3" t="n">
        <v>1.804</v>
      </c>
      <c r="F52" s="3" t="n">
        <v>1.804</v>
      </c>
      <c r="G52" s="4" t="n">
        <v>0</v>
      </c>
      <c r="H52" s="2" t="inlineStr">
        <is>
          <t>won</t>
        </is>
      </c>
      <c r="I52" s="5" t="n">
        <v>0</v>
      </c>
      <c r="J52" s="6" t="n">
        <v>-0.008800000000000001</v>
      </c>
      <c r="K52" s="6" t="n">
        <v>-0.0479</v>
      </c>
      <c r="L52" s="2" t="inlineStr">
        <is>
          <t>degraded</t>
        </is>
      </c>
      <c r="M52" s="2" t="inlineStr">
        <is>
          <t>worked</t>
        </is>
      </c>
      <c r="N52" s="2" t="inlineStr">
        <is>
          <t>FILL CONDITION MET AT NAMED BOOKS - AND WON. The 'drift toward PIT' we flagged at ship was the OPENER (PIT -3, Jets 2.47); named books held Jets above the 1.804 trigger all day and DK closed Jets -122 (1.82). Jets won 17-0. Paper grade at the 1.804 floor: raw CLV -0.9%, no-vig -4.8% - roughly flat, because the conservative floor sits at the close; anything nearer the open was strongly positive. Second paper fill in ledger history; both cashed. Lesson: our unnamed-book preseason snapshot (1.70) was the soft side of a market that was never there - named-book conditions turn soft snapshots into real prices. Stake 0 - backup order, user bets headline only.</t>
        </is>
      </c>
    </row>
    <row r="53">
      <c r="A53" s="2" t="inlineStr">
        <is>
          <t>2026-08-22</t>
        </is>
      </c>
      <c r="B53" s="2" t="inlineStr">
        <is>
          <t>Atlas @ Cruz Azul, Liga MX J5 (11:00 PM ET Sat, Estadio Banorte/Azteca)</t>
        </is>
      </c>
      <c r="C53" s="2" t="inlineStr">
        <is>
          <t>Cruz Azul ML (3-way; draw/away lose)</t>
        </is>
      </c>
      <c r="D53" s="2" t="inlineStr">
        <is>
          <t>order_unfilled</t>
        </is>
      </c>
      <c r="E53" s="3" t="n">
        <v>1.569</v>
      </c>
      <c r="F53" s="3" t="n"/>
      <c r="G53" s="4" t="n">
        <v>0</v>
      </c>
      <c r="H53" s="2" t="inlineStr">
        <is>
          <t>no fill</t>
        </is>
      </c>
      <c r="I53" s="5" t="n">
        <v>0</v>
      </c>
      <c r="J53" s="6" t="n"/>
      <c r="K53" s="6" t="n"/>
      <c r="L53" s="2" t="inlineStr">
        <is>
          <t>clean</t>
        </is>
      </c>
      <c r="M53" s="2" t="inlineStr">
        <is>
          <t>worked</t>
        </is>
      </c>
      <c r="N53" s="2" t="inlineStr">
        <is>
          <t>STOOD DOWN PER DRIFT-CANCEL - and the rule saved the ticket. The board drifted from Caliente -205/Codere -200 THROUGH the 1.569 trigger (a Betway 1.62 shows on Aug-22 comparison pages, timing unverified; Dimers' -190 board does NOT clear). The slip's printed rule covers exactly this: a drift-through is a changed premise - re-price and stand down. The drift was the market fading Cruz Azul, and Cruz Azul lost 0-2 at home. CONDITIONAL SAVE #7 (the drift-taker loses). FILL ORACLE OPEN: if you actually took 1.62, report it and I regrade as a loss at your stake (Braves precedent). Drift-throughs are now 0-for-3 as bets (Liberty, Braves, this).</t>
        </is>
      </c>
    </row>
    <row r="54">
      <c r="A54" s="2" t="inlineStr">
        <is>
          <t>2026-08-22</t>
        </is>
      </c>
      <c r="B54" s="2" t="inlineStr">
        <is>
          <t>Hernandez vs Rodrigues, UFC FN Sacramento main event (~10:15 PM ET walk)</t>
        </is>
      </c>
      <c r="C54" s="2" t="inlineStr">
        <is>
          <t>Hernandez ML</t>
        </is>
      </c>
      <c r="D54" s="2" t="inlineStr">
        <is>
          <t>order_unfilled</t>
        </is>
      </c>
      <c r="E54" s="3" t="n">
        <v>1.691</v>
      </c>
      <c r="F54" s="3" t="n"/>
      <c r="G54" s="4" t="n">
        <v>0</v>
      </c>
      <c r="H54" s="2" t="inlineStr">
        <is>
          <t>no fill</t>
        </is>
      </c>
      <c r="I54" s="5" t="n">
        <v>0</v>
      </c>
      <c r="J54" s="6" t="n"/>
      <c r="K54" s="6" t="n"/>
      <c r="L54" s="2" t="inlineStr">
        <is>
          <t>clean</t>
        </is>
      </c>
      <c r="M54" s="2" t="inlineStr">
        <is>
          <t>worked</t>
        </is>
      </c>
      <c r="N54" s="2" t="inlineStr">
        <is>
          <t>NOT FILLED - the first UFC order's line steamed the wrong way all week (DK -166 -&gt; Hard Rock -185 -&gt; DK -198 close); -145 never existed. COUNTERFACTUAL SAVE #6: Rodrigues won the fight by UD at +164 - a fill would have lost. The steam was information, again.</t>
        </is>
      </c>
    </row>
    <row r="55">
      <c r="A55" s="2" t="inlineStr">
        <is>
          <t>2026-08-22</t>
        </is>
      </c>
      <c r="B55" s="2" t="inlineStr">
        <is>
          <t>Hamilton @ Toronto, CFL Wk 12 (7:00 PM ET Sat, BMO Field)</t>
        </is>
      </c>
      <c r="C55" s="2" t="inlineStr">
        <is>
          <t>Argonauts ML</t>
        </is>
      </c>
      <c r="D55" s="2" t="inlineStr">
        <is>
          <t>order_unfilled</t>
        </is>
      </c>
      <c r="E55" s="3" t="n">
        <v>1.536</v>
      </c>
      <c r="F55" s="3" t="n"/>
      <c r="G55" s="4" t="n">
        <v>0</v>
      </c>
      <c r="H55" s="2" t="inlineStr">
        <is>
          <t>no fill</t>
        </is>
      </c>
      <c r="I55" s="5" t="n">
        <v>0</v>
      </c>
      <c r="J55" s="6" t="n"/>
      <c r="K55" s="6" t="n"/>
      <c r="L55" s="2" t="inlineStr">
        <is>
          <t>degraded</t>
        </is>
      </c>
      <c r="M55" s="2" t="inlineStr">
        <is>
          <t>worked</t>
        </is>
      </c>
      <c r="N55" s="2" t="inlineStr">
        <is>
          <t>NOT FILLED - no named book ever better than -225 vs the -187 trigger (the unattributed -218 we demoted was close to true). Argos won 39-20, a would-have-won at a price that never existed. Note: the WEATHER CLAUSE actually TRIGGERED (thunderstorm-delayed start) - had anything filled, the printed clause voided it anyway. Clause class: 3-for-3 firing correctly when conditions hit.</t>
        </is>
      </c>
    </row>
    <row r="56">
      <c r="A56" s="2" t="inlineStr">
        <is>
          <t>2026-08-23</t>
        </is>
      </c>
      <c r="B56" s="2" t="inlineStr">
        <is>
          <t>Boca Juniors @ Racing Club, Clausura fecha 6 (8:30 PM ET Sun, El Cilindro)</t>
        </is>
      </c>
      <c r="C56" s="2" t="inlineStr">
        <is>
          <t>Boca Juniors ML (3-way; draw/home lose)</t>
        </is>
      </c>
      <c r="D56" s="2" t="inlineStr">
        <is>
          <t>order_unfilled</t>
        </is>
      </c>
      <c r="E56" s="3" t="n">
        <v>2.767</v>
      </c>
      <c r="F56" s="3" t="n"/>
      <c r="G56" s="4" t="n">
        <v>0</v>
      </c>
      <c r="H56" s="2" t="inlineStr">
        <is>
          <t>no fill</t>
        </is>
      </c>
      <c r="I56" s="5" t="n">
        <v>0</v>
      </c>
      <c r="J56" s="6" t="n"/>
      <c r="K56" s="6" t="n"/>
      <c r="L56" s="2" t="inlineStr">
        <is>
          <t>degraded</t>
        </is>
      </c>
      <c r="M56" s="2" t="inlineStr">
        <is>
          <t>worked</t>
        </is>
      </c>
      <c r="N56" s="2" t="inlineStr">
        <is>
          <t>NOT FILLED - no named book ever printed Boca near +177 (best found: bplay 2.60, Betsson 2.55, bet365 DNB 1.62 implying ~2.4-2.6); the trigger sat ~8% above the whole named market. COUNTERFACTUAL SAVE #7: the match ended 1-1, so any filled 90-minute ticket loses - and the draw-heavy H2H that set the high bar was exactly the risk that landed. Never-filled orders' sides now 14W-8L across 22.</t>
        </is>
      </c>
    </row>
    <row r="57">
      <c r="A57" s="2" t="inlineStr">
        <is>
          <t>2026-08-24</t>
        </is>
      </c>
      <c r="B57" s="2" t="inlineStr">
        <is>
          <t>PIT @ SD (9:40 PM ET Mon, Petco; PITCHERS: Ashcraft vs Robbie Ray)</t>
        </is>
      </c>
      <c r="C57" s="2" t="inlineStr">
        <is>
          <t>Pirates ML</t>
        </is>
      </c>
      <c r="D57" s="2" t="inlineStr">
        <is>
          <t>ticket</t>
        </is>
      </c>
      <c r="E57" s="3" t="n">
        <v>2</v>
      </c>
      <c r="F57" s="3" t="n">
        <v>2</v>
      </c>
      <c r="G57" s="4" t="n">
        <v>35</v>
      </c>
      <c r="H57" s="2" t="inlineStr">
        <is>
          <t>won</t>
        </is>
      </c>
      <c r="I57" s="5" t="n">
        <v>35</v>
      </c>
      <c r="J57" s="6" t="n">
        <v>0.0477</v>
      </c>
      <c r="K57" s="6" t="n">
        <v>0</v>
      </c>
      <c r="L57" s="2" t="inlineStr">
        <is>
          <t>clean</t>
        </is>
      </c>
      <c r="M57" s="2" t="inlineStr">
        <is>
          <t>worked</t>
        </is>
      </c>
      <c r="N57" s="2" t="inlineStr">
        <is>
          <t>WON - the first tier bet cashes. PIT 3-2 in 12; $35 at 2.00 returns $70 (+$35 at the reference stake - report your actual book/price/stake and I restate real P&amp;L). Ashcraft/Ray premise held; bet365 +100 documented at the latest pre-game snapshot. CLV at the split close: raw +4.8% vs the -110/-110 consensus, no-vig +0.0% (book range -3.3% to +1.3%) - we took the best price on the board and the market ended where we bet it. TIER SCOREBOARD: 1 settled, 1-0, mean no-vig CLV ~0.0%; 14 more to the pre-registered rollback checkpoint.</t>
        </is>
      </c>
    </row>
    <row r="58">
      <c r="A58" s="2" t="inlineStr">
        <is>
          <t>2026-08-24</t>
        </is>
      </c>
      <c r="B58" s="2" t="inlineStr">
        <is>
          <t>PHI @ SEA (9:40 PM ET Mon, T-Mobile Park; Wheeler vs Gilbert)</t>
        </is>
      </c>
      <c r="C58" s="2" t="inlineStr">
        <is>
          <t>Phillies ML</t>
        </is>
      </c>
      <c r="D58" s="2" t="inlineStr">
        <is>
          <t>order_unfilled</t>
        </is>
      </c>
      <c r="E58" s="3" t="n">
        <v>1.927</v>
      </c>
      <c r="F58" s="3" t="n"/>
      <c r="G58" s="4" t="n">
        <v>0</v>
      </c>
      <c r="H58" s="2" t="inlineStr">
        <is>
          <t>no fill</t>
        </is>
      </c>
      <c r="I58" s="5" t="n">
        <v>0</v>
      </c>
      <c r="J58" s="6" t="n"/>
      <c r="K58" s="6" t="n"/>
      <c r="L58" s="2" t="inlineStr">
        <is>
          <t>degraded</t>
        </is>
      </c>
      <c r="M58" s="2" t="inlineStr">
        <is>
          <t>worked</t>
        </is>
      </c>
      <c r="N58" s="2" t="inlineStr">
        <is>
          <t>STOOD DOWN PER DRIFT-CANCEL - SAVE #8. A named-book -108 print IS evidenced intraday (NBC/DK-network content), but it was a TRANSIENT CROSS: the board sat -115 below the trigger, touched -108, and closed back at -115/-118. Taxonomy now codified: a market STANDING above the trigger all day = legitimate fill (Jets precedent); a market that transiently CROSSES the trigger = drift-through, re-price and stand down (Liberty/Braves/Cruz Azul/this - drift-throughs now 0-for-4 as bets). PHI lost 2-9 (Wheeler 5-run 1st); a -108 fill was -1.6% no-vig CLV AND a full-stake loss. Fill oracle open: if you took -108, report it and I regrade.</t>
        </is>
      </c>
    </row>
    <row r="59">
      <c r="A59" s="2" t="inlineStr">
        <is>
          <t>2026-08-25</t>
        </is>
      </c>
      <c r="B59" s="2" t="inlineStr">
        <is>
          <t>CHC @ AZ (9:40 PM ET Tue, Chase Field; Holmes vs Pfaadt)</t>
        </is>
      </c>
      <c r="C59" s="2" t="inlineStr">
        <is>
          <t>D-backs ML</t>
        </is>
      </c>
      <c r="D59" s="2" t="inlineStr">
        <is>
          <t>order_unfilled</t>
        </is>
      </c>
      <c r="E59" s="3" t="n">
        <v>2.005</v>
      </c>
      <c r="F59" s="3" t="n"/>
      <c r="G59" s="4" t="n">
        <v>0</v>
      </c>
      <c r="H59" s="2" t="inlineStr">
        <is>
          <t>no fill</t>
        </is>
      </c>
      <c r="I59" s="5" t="n">
        <v>0</v>
      </c>
      <c r="J59" s="6" t="n"/>
      <c r="K59" s="6" t="n"/>
      <c r="L59" s="2" t="inlineStr">
        <is>
          <t>degraded</t>
        </is>
      </c>
      <c r="M59" s="2" t="inlineStr">
        <is>
          <t>worked</t>
        </is>
      </c>
      <c r="N59" s="2" t="inlineStr">
        <is>
          <t>STOOD DOWN PER DRIFT-CANCEL - and this one is the rule's first counterfactual MISS. DK printed AZ +101 (&gt;= the 2.005 trigger) pre-game, but the board moved TOWARD the Cubs everywhere else (-105/-105 open -&gt; BetMGM -110s, SI CHC -112): a drift-through, not a standing price. Re-priced at the drifted number the blend gave -0.15% - below the model bar - so the stand-down was rule-correct. AZ then won 5-4 on a walk-off. Drift-throughs as hypothetical bets: 1-for-5 (Liberty, Braves, Cruz Azul, PHI lost; this won). The rule keeps its job on the aggregate; the miss is logged, not hidden.</t>
        </is>
      </c>
    </row>
    <row r="60">
      <c r="A60" s="2" t="inlineStr">
        <is>
          <t>2026-08-25</t>
        </is>
      </c>
      <c r="B60" s="2" t="inlineStr">
        <is>
          <t>WAS @ PHX (10:00 PM ET Tue, Footprint Center)</t>
        </is>
      </c>
      <c r="C60" s="2" t="inlineStr">
        <is>
          <t>Mystics ML</t>
        </is>
      </c>
      <c r="D60" s="2" t="inlineStr">
        <is>
          <t>order_unfilled</t>
        </is>
      </c>
      <c r="E60" s="3" t="n">
        <v>1.781</v>
      </c>
      <c r="F60" s="3" t="n"/>
      <c r="G60" s="4" t="n">
        <v>0</v>
      </c>
      <c r="H60" s="2" t="inlineStr">
        <is>
          <t>no fill</t>
        </is>
      </c>
      <c r="I60" s="5" t="n">
        <v>0</v>
      </c>
      <c r="J60" s="6" t="n"/>
      <c r="K60" s="6" t="n"/>
      <c r="L60" s="2" t="inlineStr">
        <is>
          <t>degraded</t>
        </is>
      </c>
      <c r="M60" s="2" t="inlineStr">
        <is>
          <t>worked</t>
        </is>
      </c>
      <c r="N60" s="2" t="inlineStr">
        <is>
          <t>NOT FILLED - the only -128 print was an unnamed aggregator leg; named books ran -130/-135. The fires-only-at-named-books condition held. Mystics won 94-84: a would-have-won at a price never verified to exist. Never-filled sides: 16W-9L across 26 after this card.</t>
        </is>
      </c>
    </row>
    <row r="61">
      <c r="A61" s="2" t="inlineStr">
        <is>
          <t>2026-08-25</t>
        </is>
      </c>
      <c r="B61" s="2" t="inlineStr">
        <is>
          <t>PIT @ SD (9:40 PM ET Tue, Petco; SKENES vs Michael King)</t>
        </is>
      </c>
      <c r="C61" s="2" t="inlineStr">
        <is>
          <t>Pirates ML</t>
        </is>
      </c>
      <c r="D61" s="2" t="inlineStr">
        <is>
          <t>order_filled_paper</t>
        </is>
      </c>
      <c r="E61" s="3" t="n">
        <v>2.028</v>
      </c>
      <c r="F61" s="3" t="n">
        <v>2.028</v>
      </c>
      <c r="G61" s="4" t="n">
        <v>0</v>
      </c>
      <c r="H61" s="2" t="inlineStr">
        <is>
          <t>won</t>
        </is>
      </c>
      <c r="I61" s="5" t="n">
        <v>0</v>
      </c>
      <c r="J61" s="6" t="n">
        <v>0.008999999999999999</v>
      </c>
      <c r="K61" s="6" t="n">
        <v>-0.0243</v>
      </c>
      <c r="L61" s="2" t="inlineStr">
        <is>
          <t>clean</t>
        </is>
      </c>
      <c r="M61" s="2" t="inlineStr">
        <is>
          <t>worked</t>
        </is>
      </c>
      <c r="N61" s="2" t="inlineStr">
        <is>
          <t>FILLED AT A STANDING CROSS-BOOK PRICE - AND WON. BetMGM's own game blog quoted PIT +105 (2.05 &gt;= the 2.028 trigger) while the FanDuel anchor sat -104/-102: the Jets shape (standing-above, not a transient cross), so the fill is legitimate. PIT won 1-0 behind Skenes. Paper grade at the 2.028 floor: raw CLV +0.9%, no-vig -2.4%. numberFire's 55.8% lean graded RIGHT. Stake 0 - backup order, user bets headline only. TIER SCOREBOARD: 2 settled (Mon ticket + this), 2-0 on results, but no-vig CLV is Mon ~0.0% / this -2.4% - mean ~-1.2%, NEGATIVE. That is the pre-registered rollback metric: if it is still &lt;0 at 15 settled, both tiers revert to 2.5%. 13 to the checkpoint.</t>
        </is>
      </c>
    </row>
    <row r="62">
      <c r="A62" s="2" t="inlineStr">
        <is>
          <t>2026-08-26</t>
        </is>
      </c>
      <c r="B62" s="2" t="inlineStr">
        <is>
          <t>Brewers @ Mets, MLB (7:10 PM ET Wed, Citi Field)</t>
        </is>
      </c>
      <c r="C62" s="2" t="inlineStr">
        <is>
          <t>Brewers ML</t>
        </is>
      </c>
      <c r="D62" s="2" t="inlineStr">
        <is>
          <t>order_unfilled</t>
        </is>
      </c>
      <c r="E62" s="3" t="n">
        <v>1.69</v>
      </c>
      <c r="F62" s="3" t="n"/>
      <c r="G62" s="4" t="n">
        <v>0</v>
      </c>
      <c r="H62" s="2" t="inlineStr">
        <is>
          <t>no fill</t>
        </is>
      </c>
      <c r="I62" s="5" t="n">
        <v>0</v>
      </c>
      <c r="J62" s="6" t="n"/>
      <c r="K62" s="6" t="n"/>
      <c r="L62" s="2" t="inlineStr">
        <is>
          <t>degraded</t>
        </is>
      </c>
      <c r="M62" s="2" t="inlineStr">
        <is>
          <t>worked</t>
        </is>
      </c>
      <c r="N62" s="2" t="inlineStr">
        <is>
          <t>NOT FILLED - the trigger price is not evidenced as ever standing. Best named-book MIL price found anywhere pre-game: DraftKings -149 (1.671), four cents short of the -145 trigger; BetRivers held -165 and no Polymarket ask at 59c or lower surfaced. MIL won 8-1 - a would-have-won at a price that never existed (never-filled sides now ~17W-9L across 27). Footnote that matters: Dustin May exited after ONE PITCH (comebacker off the scapula). A fill would have survived the premise (he started), but the win would have been carried entirely by Gasser's relief work - the listed-pitcher clause is doing real risk work even on nights it technically holds.</t>
        </is>
      </c>
    </row>
    <row r="63">
      <c r="A63" s="2" t="inlineStr">
        <is>
          <t>2026-08-26</t>
        </is>
      </c>
      <c r="B63" s="2" t="inlineStr">
        <is>
          <t>Toluca vs Austin FC, Leagues Cup QF (8:30 PM ET Wed, Harrison NJ - neutral)</t>
        </is>
      </c>
      <c r="C63" s="2" t="inlineStr">
        <is>
          <t>none - market refused</t>
        </is>
      </c>
      <c r="D63" s="2" t="inlineStr">
        <is>
          <t>refusal</t>
        </is>
      </c>
      <c r="E63" s="3" t="n"/>
      <c r="F63" s="3" t="n"/>
      <c r="G63" s="4" t="n">
        <v>0</v>
      </c>
      <c r="H63" s="2" t="inlineStr">
        <is>
          <t>validated</t>
        </is>
      </c>
      <c r="I63" s="5" t="n">
        <v>0</v>
      </c>
      <c r="J63" s="6" t="n"/>
      <c r="K63" s="6" t="n"/>
      <c r="L63" s="2" t="inlineStr">
        <is>
          <t>conflict</t>
        </is>
      </c>
      <c r="M63" s="2" t="inlineStr">
        <is>
          <t>worked</t>
        </is>
      </c>
      <c r="N63" s="2" t="inlineStr">
        <is>
          <t>REFUSAL VALIDATED - and the conflict resolved toward the sportsbook, as our sharpness demotion assumes. An independent named pre-game trio surfaced post-hoc (Toluca -185 / +300 / +425) devigging to ~59.6% Toluca - 5 points from BetUS's 65%, 10 from Kalshi's 50c. Toluca won 2-0 IN THE 90 (Helinho pen 53', Diaz 90+7'; Austin down a man from 40'). One sample, but both the price check and the result say the exchange cents were the off number. The 15-point venue gap was real and unpriceable at bet time; refusing was the only correct position. Kept from the same card: Valkyries -909 (demoted) won by 25 - demotion cost nothing, as designed: it prices risk, not outcomes.</t>
        </is>
      </c>
    </row>
    <row r="64">
      <c r="A64" s="2" t="inlineStr">
        <is>
          <t>2026-08-28</t>
        </is>
      </c>
      <c r="B64" s="2" t="inlineStr">
        <is>
          <t>Alouettes @ Blue Bombers, CFL Wk 13 (8:30 PM ET Fri, Princess Auto Stadium, Winnipeg)</t>
        </is>
      </c>
      <c r="C64" s="2" t="inlineStr">
        <is>
          <t>Blue Bombers ML (home dog)</t>
        </is>
      </c>
      <c r="D64" s="2" t="inlineStr">
        <is>
          <t>ticket</t>
        </is>
      </c>
      <c r="E64" s="3" t="n">
        <v>3.846</v>
      </c>
      <c r="F64" s="3" t="n">
        <v>3.846</v>
      </c>
      <c r="G64" s="4" t="n">
        <v>23</v>
      </c>
      <c r="H64" s="2" t="inlineStr">
        <is>
          <t>won</t>
        </is>
      </c>
      <c r="I64" s="5" t="n">
        <v>65.45999999999999</v>
      </c>
      <c r="J64" s="6" t="n">
        <v>0.1312</v>
      </c>
      <c r="K64" s="6" t="n">
        <v>0.0265</v>
      </c>
      <c r="L64" s="2" t="inlineStr">
        <is>
          <t>degraded</t>
        </is>
      </c>
      <c r="M64" s="2" t="inlineStr">
        <is>
          <t>worked</t>
        </is>
      </c>
      <c r="N64" s="2" t="inlineStr">
        <is>
          <t>WON 44-28 - the third tier ticket cashes, and this one BEAT THE CLOSE decisively: 26c entry vs a book close that held +240 (raw CLV +13.1%) and a no-vig fair of ~28.2% (no-vig CLV +2.7%) while the spread moved toward Montreal all day. $23 at 3.846 returned $88.46 (+$65.46 at the reference stake - report your actual venue/price/stake and I restate real P&amp;L; Polymarket's indexed print held WPG 26c). The Timbers stand-down line never triggered. TIER SCOREBOARD: 3 settled, 3-0, no-vig CLVs 0.0% / -2.4% / +2.7% (power-devig no-vig, same method as the engine - the raw +13.1% shrinks because power devig assigns most of a longshot pair's juice to the dog) - mean +0.1%, positive for the first time but barely; 12 to the rollback checkpoint.</t>
        </is>
      </c>
    </row>
    <row r="65">
      <c r="A65" s="2" t="inlineStr">
        <is>
          <t>2026-08-28</t>
        </is>
      </c>
      <c r="B65" s="2" t="inlineStr">
        <is>
          <t>Red Sox @ Yankees, MLB (7:05 PM ET Fri, Yankee Stadium)</t>
        </is>
      </c>
      <c r="C65" s="2" t="inlineStr">
        <is>
          <t>Yankees ML</t>
        </is>
      </c>
      <c r="D65" s="2" t="inlineStr">
        <is>
          <t>order_unfilled</t>
        </is>
      </c>
      <c r="E65" s="3" t="n">
        <v>1.721</v>
      </c>
      <c r="F65" s="3" t="n"/>
      <c r="G65" s="4" t="n">
        <v>0</v>
      </c>
      <c r="H65" s="2" t="inlineStr">
        <is>
          <t>no fill</t>
        </is>
      </c>
      <c r="I65" s="5" t="n">
        <v>0</v>
      </c>
      <c r="J65" s="6" t="n"/>
      <c r="K65" s="6" t="n"/>
      <c r="L65" s="2" t="inlineStr">
        <is>
          <t>degraded</t>
        </is>
      </c>
      <c r="M65" s="2" t="inlineStr">
        <is>
          <t>worked</t>
        </is>
      </c>
      <c r="N65" s="2" t="inlineStr">
        <is>
          <t>NOT FILLED - no named book ever printed NYY -139 or better (evidenced range -148 to -173) and Polymarket stood at 59c (a Covers column even flagged taking NYY 'up to 59 cents' - consistent with our one-cent miss). NYY won 1-0: another would-have-won at a price that never existed. Never-filled sides ~18W-9L.</t>
        </is>
      </c>
    </row>
    <row r="66">
      <c r="A66" s="2" t="inlineStr">
        <is>
          <t>2026-08-28</t>
        </is>
      </c>
      <c r="B66" s="2" t="inlineStr">
        <is>
          <t>Orioles @ Athletics, MLB (9:40 PM ET Fri, Sutter Health Park, West Sacramento)</t>
        </is>
      </c>
      <c r="C66" s="2" t="inlineStr">
        <is>
          <t>Athletics ML (home dog)</t>
        </is>
      </c>
      <c r="D66" s="2" t="inlineStr">
        <is>
          <t>order_unfilled</t>
        </is>
      </c>
      <c r="E66" s="3" t="n">
        <v>2.041</v>
      </c>
      <c r="F66" s="3" t="n"/>
      <c r="G66" s="4" t="n">
        <v>0</v>
      </c>
      <c r="H66" s="2" t="inlineStr">
        <is>
          <t>no fill</t>
        </is>
      </c>
      <c r="I66" s="5" t="n">
        <v>0</v>
      </c>
      <c r="J66" s="6" t="n"/>
      <c r="K66" s="6" t="n"/>
      <c r="L66" s="2" t="inlineStr">
        <is>
          <t>degraded</t>
        </is>
      </c>
      <c r="M66" s="2" t="inlineStr">
        <is>
          <t>worked</t>
        </is>
      </c>
      <c r="N66" s="2" t="inlineStr">
        <is>
          <t>NOT FILLED - AND THE CONDITION SAVED A LOSS. Aggregator picks-tables printed ATH +119/+120, but no NAMED book was ever behind those numbers and FanDuel (the named board) sat +100, under the +104 trigger. The fires-only-on-a-named-book-print condition held - and ATH LOST 3-4 in 10 innings, so an aggregator-print fill would have been a full-stake loser. This is the named-book condition's cleanest save yet (distinct from the 8 drift-cancel saves). Never-filled sides ~18W-10L across 29.</t>
        </is>
      </c>
    </row>
    <row r="67">
      <c r="A67" s="2" t="inlineStr">
        <is>
          <t>2026-08-28</t>
        </is>
      </c>
      <c r="B67" s="2" t="inlineStr">
        <is>
          <t>Dodgers @ Tigers, MLB (6:40 PM ET Fri, Comerica Park) - the Skubal marquee</t>
        </is>
      </c>
      <c r="C67" s="2" t="inlineStr">
        <is>
          <t>none - market refused</t>
        </is>
      </c>
      <c r="D67" s="2" t="inlineStr">
        <is>
          <t>refusal</t>
        </is>
      </c>
      <c r="E67" s="3" t="n"/>
      <c r="F67" s="3" t="n"/>
      <c r="G67" s="4" t="n">
        <v>0</v>
      </c>
      <c r="H67" s="2" t="inlineStr">
        <is>
          <t>validated</t>
        </is>
      </c>
      <c r="I67" s="5" t="n">
        <v>0</v>
      </c>
      <c r="J67" s="6" t="n"/>
      <c r="K67" s="6" t="n"/>
      <c r="L67" s="2" t="inlineStr">
        <is>
          <t>conflict</t>
        </is>
      </c>
      <c r="M67" s="2" t="inlineStr">
        <is>
          <t>worked</t>
        </is>
      </c>
      <c r="N67" s="2" t="inlineStr">
        <is>
          <t>CONFLICT REFUSAL on the game everyone wanted: Skubal's revenge start. Two named books agree (BetRivers -225, FanDuel -215, ~67-69% LAD) while Polymarket sells LAD at 64c on $112K of volume - a 4-6 point venue fight whose best-price synthetic hold is NEGATIVE (-1.29%). The rule (degraded + negative cross-hold = unpriceable, never an arb) is 4-for-4 lifetime and was validated 48h ago by Toluca. POLICY QUESTION PRE-REGISTERED, not acted on: this shape differs from past conflicts - BOTH named books agree and only the exchange is off, and the candidate bet (LAD at PM 64c) is AT the outlier venue in the DIRECTION of the anchor consensus (+5.0% EV if the books are right, -0.6% if PM is right - positive under any mixture). Settle must record which venue was right here AND in the other three refusals (HOU@NYM, SEA@TOR, TEX@MIL); if the books-agree-exchange-off subtype keeps grading book-side-right, that is the ledger evidence a refinement needs. No parameter moves tonight (Walters rule). || SETTLED: the gap was REAL and the BOOKS were the better venue. FanDuel closed ~-215/+180 (no-vig LAD ~65.7%) vs Polymarket's 63-64c - a genuine ~2-point cross-venue disagreement that never converged. LAD won 2-1 behind Skubal (6 IP, 1 R in his Comerica return; under 7.5 cashed - our registered under lean RIGHT). Policy-question tally opens: books-agree-exchange-off subtype 1-0 books. A PM-side LAD bet at 64c would have won and carried positive CLV vs the book close - logged as the cost side of the refusal, per the honesty standard.</t>
        </is>
      </c>
    </row>
    <row r="68">
      <c r="A68" s="2" t="inlineStr">
        <is>
          <t>2026-08-28</t>
        </is>
      </c>
      <c r="B68" s="2" t="inlineStr">
        <is>
          <t>HOU@NYM, SEA@TOR, TEX@MIL - three more venue conflicts, one card</t>
        </is>
      </c>
      <c r="C68" s="2" t="inlineStr">
        <is>
          <t>none - markets refused</t>
        </is>
      </c>
      <c r="D68" s="2" t="inlineStr">
        <is>
          <t>refusal</t>
        </is>
      </c>
      <c r="E68" s="3" t="n"/>
      <c r="F68" s="3" t="n"/>
      <c r="G68" s="4" t="n">
        <v>0</v>
      </c>
      <c r="H68" s="2" t="inlineStr">
        <is>
          <t>graded</t>
        </is>
      </c>
      <c r="I68" s="5" t="n">
        <v>0</v>
      </c>
      <c r="J68" s="6" t="n"/>
      <c r="K68" s="6" t="n"/>
      <c r="L68" s="2" t="inlineStr">
        <is>
          <t>conflict</t>
        </is>
      </c>
      <c r="M68" s="2" t="inlineStr">
        <is>
          <t>worked</t>
        </is>
      </c>
      <c r="N68" s="2" t="inlineStr">
        <is>
          <t>Grouped refusal, engine-fired on all three: HOU@NYM (board HOU -128 vs Polymarket 51/50 pick'em on thin $59K - hold -0.70%), SEA@TOR (FanDuel -172 vs BET99 -155 one-sided - hold -0.45%; numberFire 53% TOR also far under the market), TEX@MIL (FanDuel -205 vs scoresandstats -181, 24 cents - hold -0.52%). Four refusals in one night is the dispersion mandate working as designed: hunting second venues finds gaps, and most gaps are somebody's bad quote, not value. Settle records the truth venue per game for the refusal-calibration ledger. || SETTLED, venue verdicts: TEX@MIL - FanDuel RIGHT (close clustered -190/-205; scoresandstats -181 was the stale outlier; MIL won 6-1). SEA@TOR - FanDuel RIGHT (close -161/-179 with FD dead-center; BET99 -155 sat outside the whole range; TOR won 8-1). HOU@NYM - THE EXCHANGE WAS RIGHT: the -128 board was stale and the market closed -105/-106, converging exactly to Polymarket's 51/50 (HOU won 3-1 - outcome noise; the close is the verdict). Running venue-calibration: named books 3, exchange 1 - and the exchange's win came against an unnamed consensus board, not against fresh named books. The sharpness hierarchy (named &gt; consensus &gt; exchange) survives the night.</t>
        </is>
      </c>
    </row>
    <row r="69">
      <c r="A69" s="2" t="inlineStr">
        <is>
          <t>2026-08-31</t>
        </is>
      </c>
      <c r="B69" s="2" t="inlineStr">
        <is>
          <t>Phillies @ D-backs, MLB (9:40 PM ET Mon, Chase Field)</t>
        </is>
      </c>
      <c r="C69" s="2" t="inlineStr">
        <is>
          <t>D-backs ML (home dog)</t>
        </is>
      </c>
      <c r="D69" s="2" t="inlineStr">
        <is>
          <t>order_unfilled</t>
        </is>
      </c>
      <c r="E69" s="3" t="n">
        <v>2.085</v>
      </c>
      <c r="F69" s="3" t="n"/>
      <c r="G69" s="4" t="n">
        <v>0</v>
      </c>
      <c r="H69" s="2" t="inlineStr">
        <is>
          <t>no fill</t>
        </is>
      </c>
      <c r="I69" s="5" t="n">
        <v>0</v>
      </c>
      <c r="J69" s="6" t="n"/>
      <c r="K69" s="6" t="n"/>
      <c r="L69" s="2" t="inlineStr">
        <is>
          <t>degraded</t>
        </is>
      </c>
      <c r="M69" s="2" t="inlineStr">
        <is>
          <t>worked</t>
        </is>
      </c>
      <c r="N69" s="2" t="inlineStr">
        <is>
          <t>NOT FILLED BY ONE CENT - AND THE CLAUSE SAVED A LOSER AGAIN. Best named-book print all day: DraftKings +108 (2.08), one cent under the +109 trigger; FanDuel +100, consensus +105/+106; a lone '+109' mention appears in a snippet that simultaneously says 'best odds +103' - no verified standing print. AZ then LOST 1-2 (Nola out-dueled Pfaadt), so a fill would have graded L at ~flat CLV vs the +105/+106 close. That is the second consecutive card where the named-book/one-cent discipline refused a bet that loses (Fri ATH, Mon AZ). numberFire's 52.9% AZ graded WRONG. Never-filled sides ~18W-11L across 30 - the bars keep refusing the right ones lately.</t>
        </is>
      </c>
    </row>
    <row r="70">
      <c r="A70" s="2" t="inlineStr">
        <is>
          <t>2026-09-01</t>
        </is>
      </c>
      <c r="B70" s="2" t="inlineStr">
        <is>
          <t>Giants @ Pirates, MLB (6:40 PM ET Tue, PNC Park) - Skenes vs Webb</t>
        </is>
      </c>
      <c r="C70" s="2" t="inlineStr">
        <is>
          <t>Pirates ML</t>
        </is>
      </c>
      <c r="D70" s="2" t="inlineStr">
        <is>
          <t>order_unfilled</t>
        </is>
      </c>
      <c r="E70" s="3" t="n">
        <v>1.689</v>
      </c>
      <c r="F70" s="3" t="n"/>
      <c r="G70" s="4" t="n">
        <v>0</v>
      </c>
      <c r="H70" s="2" t="inlineStr">
        <is>
          <t>no fill</t>
        </is>
      </c>
      <c r="I70" s="5" t="n">
        <v>0</v>
      </c>
      <c r="J70" s="6" t="n"/>
      <c r="K70" s="6" t="n"/>
      <c r="L70" s="2" t="inlineStr">
        <is>
          <t>degraded</t>
        </is>
      </c>
      <c r="M70" s="2" t="inlineStr">
        <is>
          <t>worked</t>
        </is>
      </c>
      <c r="N70" s="2" t="inlineStr">
        <is>
          <t>NOT FILLED - no named book ever printed PIT -145 or better; the dated band was -158 (Athlon) to -162 (Predictem/DK -161). PIT then won 13-12 on a walk-off THROWING ERROR after blowing a six-run lead with Skenes shelled for 5 - a would-have-won that would have spent nine innings looking like a loser. The resting-order design priced the fill, not the outcome; a fill at the trigger would have carried ~+4% raw CLV vs the -161 close, which is exactly why the trigger sits where it sits. Never-filled sides ~19W-11L across 31.</t>
        </is>
      </c>
    </row>
    <row r="71">
      <c r="A71" s="2" t="inlineStr">
        <is>
          <t>2026-09-01</t>
        </is>
      </c>
      <c r="B71" s="2" t="inlineStr">
        <is>
          <t>Marlins @ Royals, MLB (7:40 PM ET Tue, Kauffman Stadium)</t>
        </is>
      </c>
      <c r="C71" s="2" t="inlineStr">
        <is>
          <t>none - market refused</t>
        </is>
      </c>
      <c r="D71" s="2" t="inlineStr">
        <is>
          <t>refusal</t>
        </is>
      </c>
      <c r="E71" s="3" t="n"/>
      <c r="F71" s="3" t="n"/>
      <c r="G71" s="4" t="n">
        <v>0</v>
      </c>
      <c r="H71" s="2" t="inlineStr">
        <is>
          <t>validated</t>
        </is>
      </c>
      <c r="I71" s="5" t="n">
        <v>0</v>
      </c>
      <c r="J71" s="6" t="n"/>
      <c r="K71" s="6" t="n"/>
      <c r="L71" s="2" t="inlineStr">
        <is>
          <t>conflict</t>
        </is>
      </c>
      <c r="M71" s="2" t="inlineStr">
        <is>
          <t>worked</t>
        </is>
      </c>
      <c r="N71" s="2" t="inlineStr">
        <is>
          <t>CONFLICT REFUSAL, engine-fired at -7.41% cross-hold: BetRivers prints KC -117 while YouWager prints MIA -160 - 50+ cents apart, the favorite FLIPS between boards. Per the post-phantom-anchor hierarchy (adopted after the MIL -196 grade), a conflict this size is encoded intact and refused, never resolved by hand - one of these boards is fiction and settle will record WHICH, feeding the calibration that already reads named-book &gt; exchange &gt; unnamed-article. DK splits (86% ML handle on KC) lean toward BetRivers being live, but handle is color, not truth. || SETTLED: KC closed the favorite at -117 (BetRivers) / -120 (DraftKings, sharps 66% bets / 88% dollars). The YouWager 'MIA -160' board was FICTION - a 40-cent inversion of the real market that appears only on that blog. Refusal validated on process; MIA won 6-3 as the +100 dog (outcome noise - the close is the verdict). Venue-truth ledger: named books 4, exchange 2, blog boards 0-for-3 this week.</t>
        </is>
      </c>
    </row>
    <row r="72">
      <c r="A72" s="2" t="inlineStr">
        <is>
          <t>2026-09-03</t>
        </is>
      </c>
      <c r="B72" s="2" t="inlineStr">
        <is>
          <t>Colorado @ Georgia Tech, CFB Week 1 (8:00 PM ET Thu, Bobby Dodd Stadium, ESPN)</t>
        </is>
      </c>
      <c r="C72" s="2" t="inlineStr">
        <is>
          <t>Colorado ML (road dog)</t>
        </is>
      </c>
      <c r="D72" s="2" t="inlineStr">
        <is>
          <t>order_unfilled</t>
        </is>
      </c>
      <c r="E72" s="3" t="n">
        <v>3.23</v>
      </c>
      <c r="F72" s="3" t="n"/>
      <c r="G72" s="4" t="n">
        <v>0</v>
      </c>
      <c r="H72" s="2" t="inlineStr">
        <is>
          <t>no fill</t>
        </is>
      </c>
      <c r="I72" s="5" t="n">
        <v>0</v>
      </c>
      <c r="J72" s="6" t="n"/>
      <c r="K72" s="6" t="n"/>
      <c r="L72" s="2" t="inlineStr">
        <is>
          <t>degraded</t>
        </is>
      </c>
      <c r="M72" s="2" t="inlineStr">
        <is>
          <t>worked</t>
        </is>
      </c>
      <c r="N72" s="2" t="inlineStr">
        <is>
          <t>NOT FILLED BY THREE CENTS - AND THE SIDE WON 14-13. Best named print all day: DraftKings +220 (3.20) against the +223 (3.23) trigger; FanDuel and bet365 +205; the unnamed +240 was the pre-ship opener. The market moved TOWARD Colorado all day on sharp money (DK: 10% of tickets / 63% of handle), which is why the trigger - set 1.5% above a blended fair that weights the market 0.85 - drifted out of reach instead of into it. Colorado won on a TD with 0:42 left and a blocked field goal. The ledger's first CFB order: a missed winner, honestly logged. Never-filled sides ~20W-11L across 32.</t>
        </is>
      </c>
    </row>
    <row r="73">
      <c r="A73" s="2" t="inlineStr">
        <is>
          <t>2026-09-04</t>
        </is>
      </c>
      <c r="B73" s="2" t="inlineStr">
        <is>
          <t>Pachuca @ FC Juarez, Liga MX Apertura J7 (11:00 PM ET Fri, Estadio Olimpico Benito Juarez)</t>
        </is>
      </c>
      <c r="C73" s="2" t="inlineStr">
        <is>
          <t>Pachuca to win in 90 minutes (draw loses)</t>
        </is>
      </c>
      <c r="D73" s="2" t="inlineStr">
        <is>
          <t>ticket</t>
        </is>
      </c>
      <c r="E73" s="3" t="n">
        <v>2.174</v>
      </c>
      <c r="F73" s="3" t="n">
        <v>2.174</v>
      </c>
      <c r="G73" s="4" t="n">
        <v>104</v>
      </c>
      <c r="H73" s="2" t="inlineStr">
        <is>
          <t>won</t>
        </is>
      </c>
      <c r="I73" s="5" t="n">
        <v>122.1</v>
      </c>
      <c r="J73" s="6" t="n">
        <v>0.1137</v>
      </c>
      <c r="K73" s="6" t="n">
        <v>0</v>
      </c>
      <c r="L73" s="2" t="inlineStr">
        <is>
          <t>degraded</t>
        </is>
      </c>
      <c r="M73" s="2" t="inlineStr">
        <is>
          <t>worked</t>
        </is>
      </c>
      <c r="N73" s="2" t="inlineStr">
        <is>
          <t>WON - Pachuca 2-0 at Juarez, the fourth tier ticket and the second sourced from an exchange. $104 at 2.174 returns $226.10 (+$122.10 at the reference stake - report your actual venue, price and size and I restate real P&amp;L). SETTLEMENT PREMISE CONFIRMED INDEPENDENTLY: Robinhood's listing of the same contract words it '90 minutes plus stoppage, excluding extra time and penalties' - exactly the market we priced, and both goals came in regulation, so there was no ambiguity. The 46c ask was corroborated as a real quoted price by a second source ('Kalshi has Pachuca at 46%'), though NO volume or depth figure is indexed anywhere - fill size remains unverified by anything but your own report. CLV IS GENUINELY AMBIGUOUS and is recorded conservatively. Raw +11.4%% against the ESPN BET board we anchored on, which re-indexed unchanged at 1.952. But that page serves a single untimestamped snapshot, and a second dated board had Pachuca LENGTHENING to +102 while Juarez shortened - implying a closing Pachuca near 45.8%% against ESPN BET's 49.2%%. The honest bracket on no-vig CLV is -0.4%% to +7.0%%; clv_novig is set to 0.0 at the conservative end BECAUSE this figure feeds the pre-registered rollback metric, and a metric that can retire a policy should never be flattered. TIER SCOREBOARD: 4 settled, 4-0 on results, mean no-vig CLV ~+0.1%% - still barely above zero after four bets; 11 to the checkpoint. This ticket is money in hand and a neutral process verdict: it is NOT evidence the Liga MX blend works.</t>
        </is>
      </c>
    </row>
    <row r="74">
      <c r="A74" s="2" t="inlineStr">
        <is>
          <t>2026-09-04</t>
        </is>
      </c>
      <c r="B74" s="2" t="inlineStr">
        <is>
          <t>Toledo @ Michigan State, CFB Week 1 (8:00 PM ET Fri, Spartan Stadium)</t>
        </is>
      </c>
      <c r="C74" s="2" t="inlineStr">
        <is>
          <t>none - market refused</t>
        </is>
      </c>
      <c r="D74" s="2" t="inlineStr">
        <is>
          <t>refusal</t>
        </is>
      </c>
      <c r="E74" s="3" t="n"/>
      <c r="F74" s="3" t="n"/>
      <c r="G74" s="4" t="n">
        <v>0</v>
      </c>
      <c r="H74" s="2" t="inlineStr">
        <is>
          <t>validated</t>
        </is>
      </c>
      <c r="I74" s="5" t="n">
        <v>0</v>
      </c>
      <c r="J74" s="6" t="n"/>
      <c r="K74" s="6" t="n"/>
      <c r="L74" s="2" t="inlineStr">
        <is>
          <t>conflict</t>
        </is>
      </c>
      <c r="M74" s="2" t="inlineStr">
        <is>
          <t>worked</t>
        </is>
      </c>
      <c r="N74" s="2" t="inlineStr">
        <is>
          <t>CONFLICT REFUSAL, engine-fired at -5.25% best-price cross-venue hold. FanDuel's -420 devigs to ~77% Michigan State and KALSHI AGREES at 78c on $79K of volume - but POLYMARKET sits at 83c, five-plus points clear of both. Taking the cheap Toledo side at Polymarket's 17c against Kalshi's MSU 78c is the synthetic-arb shape that has graded wrong three times in this ledger. Note the asymmetry that makes this different from Wednesday's phantom-anchor inversion: there the lone outlier was an unnamed blog board and the exchange was right; here a NAMED book and an exchange agree and the other exchange is the outlier - which is exactly why the hierarchy says refuse rather than pick. Settle records which venue was right. Independent reason to stay away: SP+ has MSU by 13.8 and FPI by 5.4 - a two-touchdown model disagreement on a game with two first-time starting QBs under two new head coaches. || SETTLED - VALIDATED ON PROCESS AND OUTCOME. Michigan State won 30-20 (and did NOT cover -10.5), so the refused Toledo ticket would have LOST outright. The venue ranking against a ~77% closing consensus: FanDuel -420 was dead on (error ~0.0-0.7 points), KALSHI's 78c tracked it within a point, and POLYMARKET's 83c was six points off and NEVER CONVERGED - its market ranged 75-83% across $79K of volume, so the quote we saw sat at the extreme top of its own band. That is the unstable-cross-source signature the refusal rule exists to catch: the apparent six-point edge on Toledo at 17c was venue noise inside an eight-point band, not dispersion. Venue-truth ledger: named books 5, exchange 2. Polymarket stays demoted at 0.45 - nothing here argues otherwise.</t>
        </is>
      </c>
    </row>
    <row r="75">
      <c r="A75" s="2" t="inlineStr">
        <is>
          <t>2026-09-09</t>
        </is>
      </c>
      <c r="B75" s="2" t="inlineStr">
        <is>
          <t>Patriots @ Seahawks, NFL Week 1 (8:20 PM ET Wed, Lumen Field)</t>
        </is>
      </c>
      <c r="C75" s="2" t="inlineStr">
        <is>
          <t>Patriots ML (road dog)</t>
        </is>
      </c>
      <c r="D75" s="2" t="inlineStr">
        <is>
          <t>order_open</t>
        </is>
      </c>
      <c r="E75" s="3" t="n">
        <v>2.7027</v>
      </c>
      <c r="F75" s="3" t="n"/>
      <c r="G75" s="4" t="n">
        <v>0</v>
      </c>
      <c r="H75" s="2" t="inlineStr">
        <is>
          <t>pending</t>
        </is>
      </c>
      <c r="I75" s="5" t="n">
        <v>0</v>
      </c>
      <c r="J75" s="6" t="n"/>
      <c r="K75" s="6" t="n"/>
      <c r="L75" s="2" t="inlineStr">
        <is>
          <t>degraded</t>
        </is>
      </c>
      <c r="M75" s="2" t="inlineStr">
        <is>
          <t>pending</t>
        </is>
      </c>
      <c r="N75" s="2" t="inlineStr">
        <is>
          <t>HEADLINE ORDER - dispersion tier (+1.0% bar; Kalshi at 0.45 sharpness sits below the 0.50 fair-line floor, so it is a shop venue, never a fair source). Fires at 37c or better (2.7027, +170). Blended fair 2.675 (37.38%); the model ensemble alone says 39.33%, so a 37c fill is +1.03% on the blend and +6.30% on the model. Best live prices: BetRivers +160 (a fair source, so it carries the +1.5% model-tier bar = 2.715 and misses), Kalshi 39c = 2.5641. TWO BINDING CLAUSES. (1) DRIFT-CANCEL WITH A NAMED TRIGGER: TreVeyon Henderson (NE RB) has not practiced since Aug 24 and his final designation was still outstanding at compile. If New England reaches 37c ON A HENDERSON-OUT HEADLINE, that is a drift, not a fill - the premise our fair was built on changed, the true probability moved down with the price, and we stand down and re-price. A 37c print on ordinary two-way flow with no news is a legitimate standing-above fill. Both graded drift-fills (Liberty Aug-3, Braves Aug-10) arrived exactly this way and both carried negative CLV. (2) BOOK-INTEGRITY FLOOR: the order is void if Kalshi's two legs sum to 100c or less (e.g. NE 36c against SEA 64c). Our own conflict rule refuses a zero/negative synthetic hold on a degraded anchor, and an exchange showing one is showing a stale side, not a gift. Verified at compile: NE 39c + SEA 63c = 102c. PREMISES HELD AT COMPILE: Maye and Darnold both entirely absent from the injury report; NE C Ben Brown OUT. $15 at quarter-Kelly if filled at 37c (returns $41); ~$54 at 36c.</t>
        </is>
      </c>
    </row>
    <row r="76">
      <c r="A76" s="2" t="inlineStr">
        <is>
          <t>2026-09-09</t>
        </is>
      </c>
      <c r="B76" s="2" t="inlineStr">
        <is>
          <t>Patriots @ Seahawks, NFL Week 1 - total 44.5</t>
        </is>
      </c>
      <c r="C76" s="2" t="inlineStr">
        <is>
          <t>none - under 44.5 read declined, not priced</t>
        </is>
      </c>
      <c r="D76" s="2" t="inlineStr">
        <is>
          <t>refusal</t>
        </is>
      </c>
      <c r="E76" s="3" t="n"/>
      <c r="F76" s="3" t="n"/>
      <c r="G76" s="4" t="n">
        <v>0</v>
      </c>
      <c r="H76" s="2" t="inlineStr">
        <is>
          <t>pending</t>
        </is>
      </c>
      <c r="I76" s="5" t="n">
        <v>0</v>
      </c>
      <c r="J76" s="6" t="n"/>
      <c r="K76" s="6" t="n"/>
      <c r="L76" s="2" t="inlineStr">
        <is>
          <t>degraded</t>
        </is>
      </c>
      <c r="M76" s="2" t="inlineStr">
        <is>
          <t>pending</t>
        </is>
      </c>
      <c r="N76" s="2" t="inlineStr">
        <is>
          <t>DECLINED READ, registered so it can be graded. Forecast for the 5:20-8:30 PM PT window at open-air Lumen: 20-30 mph gusts across the Puget Sound lowlands strengthening into the evening, plus moderate-to-heavy rain. That is a real under thesis and it is the most confident qualitative statement on this card. It is NOT BET for three independent reasons, any one of which is sufficient: totals never headline (standing rule); FanDuel and BookmakersReview both sit 44.5 -110/-110 with zero cross-venue dispersion, so there is no venue to buy it at; and we carry no calibrated weather model, so any probability we asserted would be invented. The ESPN listing's 45.5 would be the number to buy under if it were real, but it is one-sided and undated. Settle should record whether the game went under 44.5 - if this read keeps grading right while unpriced, that is evidence for building a weather layer, which is a parameter change and needs ledger evidence first.</t>
        </is>
      </c>
    </row>
    <row r="78">
      <c r="A78" s="7" t="inlineStr">
        <is>
          <t>Blue cells = ledger data (regenerated by sharpods-tracker; edit data/track_record.json, not this sheet). Dashboard recomputes from these rows automatically. To grade a bet you placed yourself: set Type=ticket, Result=won or lost, and fill Stake $ and P&amp;L $ — the Dashboard picks it up. For an order that never filled, set Result=no fill.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8"/>
  <sheetViews>
    <sheetView workbookViewId="0">
      <selection activeCell="A1" sqref="A1"/>
    </sheetView>
  </sheetViews>
  <sheetFormatPr baseColWidth="8" defaultRowHeight="15"/>
  <cols>
    <col width="11" customWidth="1" min="1" max="1"/>
    <col width="26" customWidth="1" min="2" max="2"/>
    <col width="14" customWidth="1" min="3" max="3"/>
    <col width="16" customWidth="1" min="4" max="4"/>
    <col width="11" customWidth="1" min="5" max="5"/>
    <col width="13" customWidth="1" min="6" max="6"/>
    <col width="11" customWidth="1" min="7" max="7"/>
    <col width="11" customWidth="1" min="8" max="8"/>
    <col width="15" customWidth="1" min="9" max="9"/>
  </cols>
  <sheetData>
    <row r="1">
      <c r="A1" s="1" t="inlineStr">
        <is>
          <t>Date</t>
        </is>
      </c>
      <c r="B1" s="1" t="inlineStr">
        <is>
          <t>Event</t>
        </is>
      </c>
      <c r="C1" s="1" t="inlineStr">
        <is>
          <t>Our fair (home)</t>
        </is>
      </c>
      <c r="D1" s="1" t="inlineStr">
        <is>
          <t>Close no-vig (home)</t>
        </is>
      </c>
      <c r="E1" s="1" t="inlineStr">
        <is>
          <t>Error (pts)</t>
        </is>
      </c>
      <c r="F1" s="1" t="inlineStr">
        <is>
          <t>Home won (1/0)</t>
        </is>
      </c>
      <c r="G1" s="1" t="inlineStr">
        <is>
          <t>Brier ours</t>
        </is>
      </c>
      <c r="H1" s="1" t="inlineStr">
        <is>
          <t>Brier close</t>
        </is>
      </c>
      <c r="I1" s="1" t="inlineStr">
        <is>
          <t>Source flag</t>
        </is>
      </c>
    </row>
    <row r="2">
      <c r="A2" s="2" t="inlineStr">
        <is>
          <t>2026-07-29</t>
        </is>
      </c>
      <c r="B2" s="2" t="inlineStr">
        <is>
          <t>mlb-2026-07-29-bal-det</t>
        </is>
      </c>
      <c r="C2" s="8" t="n">
        <v>0.6183999999999999</v>
      </c>
      <c r="D2" s="8" t="n">
        <v>0.6225000000000001</v>
      </c>
      <c r="E2" s="9">
        <f>ABS(C2-D2)*100</f>
        <v/>
      </c>
      <c r="F2" s="2" t="n">
        <v>0</v>
      </c>
      <c r="G2" s="10">
        <f>(C2-F2)^2</f>
        <v/>
      </c>
      <c r="H2" s="10">
        <f>(D2-F2)^2</f>
        <v/>
      </c>
      <c r="I2" s="2" t="inlineStr">
        <is>
          <t>clean</t>
        </is>
      </c>
    </row>
    <row r="3">
      <c r="A3" s="2" t="inlineStr">
        <is>
          <t>2026-07-29</t>
        </is>
      </c>
      <c r="B3" s="2" t="inlineStr">
        <is>
          <t>mlb-2026-07-29-atl-nym-g1</t>
        </is>
      </c>
      <c r="C3" s="8" t="n">
        <v>0.4953</v>
      </c>
      <c r="D3" s="8" t="n">
        <v>0.4907</v>
      </c>
      <c r="E3" s="9">
        <f>ABS(C3-D3)*100</f>
        <v/>
      </c>
      <c r="F3" s="2" t="n">
        <v>1</v>
      </c>
      <c r="G3" s="10">
        <f>(C3-F3)^2</f>
        <v/>
      </c>
      <c r="H3" s="10">
        <f>(D3-F3)^2</f>
        <v/>
      </c>
      <c r="I3" s="2" t="inlineStr">
        <is>
          <t>clean</t>
        </is>
      </c>
    </row>
    <row r="4">
      <c r="A4" s="2" t="inlineStr">
        <is>
          <t>2026-07-29</t>
        </is>
      </c>
      <c r="B4" s="2" t="inlineStr">
        <is>
          <t>mlb-2026-07-29-col-sd</t>
        </is>
      </c>
      <c r="C4" s="8" t="n">
        <v>0.5644</v>
      </c>
      <c r="D4" s="8" t="n">
        <v>0.5617</v>
      </c>
      <c r="E4" s="9">
        <f>ABS(C4-D4)*100</f>
        <v/>
      </c>
      <c r="F4" s="2" t="n">
        <v>1</v>
      </c>
      <c r="G4" s="10">
        <f>(C4-F4)^2</f>
        <v/>
      </c>
      <c r="H4" s="10">
        <f>(D4-F4)^2</f>
        <v/>
      </c>
      <c r="I4" s="2" t="inlineStr">
        <is>
          <t>clean</t>
        </is>
      </c>
    </row>
    <row r="5">
      <c r="A5" s="2" t="inlineStr">
        <is>
          <t>2026-07-29</t>
        </is>
      </c>
      <c r="B5" s="2" t="inlineStr">
        <is>
          <t>mlb-2026-07-29-tor-wsh</t>
        </is>
      </c>
      <c r="C5" s="8" t="n">
        <v>0.4653</v>
      </c>
      <c r="D5" s="8" t="n">
        <v>0.4678</v>
      </c>
      <c r="E5" s="9">
        <f>ABS(C5-D5)*100</f>
        <v/>
      </c>
      <c r="F5" s="2" t="n">
        <v>0</v>
      </c>
      <c r="G5" s="10">
        <f>(C5-F5)^2</f>
        <v/>
      </c>
      <c r="H5" s="10">
        <f>(D5-F5)^2</f>
        <v/>
      </c>
      <c r="I5" s="2" t="inlineStr">
        <is>
          <t>clean</t>
        </is>
      </c>
    </row>
    <row r="6">
      <c r="A6" s="2" t="inlineStr">
        <is>
          <t>2026-07-29</t>
        </is>
      </c>
      <c r="B6" s="2" t="inlineStr">
        <is>
          <t>mlb-2026-07-29-phi-mia</t>
        </is>
      </c>
      <c r="C6" s="8" t="n">
        <v>0.4108</v>
      </c>
      <c r="D6" s="8" t="n">
        <v>0.3865</v>
      </c>
      <c r="E6" s="9">
        <f>ABS(C6-D6)*100</f>
        <v/>
      </c>
      <c r="F6" s="2" t="n">
        <v>1</v>
      </c>
      <c r="G6" s="10">
        <f>(C6-F6)^2</f>
        <v/>
      </c>
      <c r="H6" s="10">
        <f>(D6-F6)^2</f>
        <v/>
      </c>
      <c r="I6" s="2" t="inlineStr">
        <is>
          <t>clean</t>
        </is>
      </c>
    </row>
    <row r="7">
      <c r="A7" s="2" t="inlineStr">
        <is>
          <t>2026-07-30</t>
        </is>
      </c>
      <c r="B7" s="2" t="inlineStr">
        <is>
          <t>mlb-2026-07-30-tex-tb</t>
        </is>
      </c>
      <c r="C7" s="8" t="n">
        <v>0.6203</v>
      </c>
      <c r="D7" s="8" t="n">
        <v>0.5713</v>
      </c>
      <c r="E7" s="9">
        <f>ABS(C7-D7)*100</f>
        <v/>
      </c>
      <c r="F7" s="2" t="n">
        <v>1</v>
      </c>
      <c r="G7" s="10">
        <f>(C7-F7)^2</f>
        <v/>
      </c>
      <c r="H7" s="10">
        <f>(D7-F7)^2</f>
        <v/>
      </c>
      <c r="I7" s="2" t="inlineStr">
        <is>
          <t>low-conf close</t>
        </is>
      </c>
    </row>
    <row r="8">
      <c r="A8" s="2" t="inlineStr">
        <is>
          <t>2026-07-30</t>
        </is>
      </c>
      <c r="B8" s="2" t="inlineStr">
        <is>
          <t>mlb-2026-07-30-chc-stl</t>
        </is>
      </c>
      <c r="C8" s="8" t="n">
        <v>0.4852</v>
      </c>
      <c r="D8" s="8" t="n">
        <v>0.5233</v>
      </c>
      <c r="E8" s="9">
        <f>ABS(C8-D8)*100</f>
        <v/>
      </c>
      <c r="F8" s="2" t="n">
        <v>0</v>
      </c>
      <c r="G8" s="10">
        <f>(C8-F8)^2</f>
        <v/>
      </c>
      <c r="H8" s="10">
        <f>(D8-F8)^2</f>
        <v/>
      </c>
      <c r="I8" s="2" t="inlineStr">
        <is>
          <t>conflict</t>
        </is>
      </c>
    </row>
    <row r="9">
      <c r="A9" s="2" t="inlineStr">
        <is>
          <t>2026-07-30</t>
        </is>
      </c>
      <c r="B9" s="2" t="inlineStr">
        <is>
          <t>mlb-2026-07-30-mia-nym</t>
        </is>
      </c>
      <c r="C9" s="8" t="n">
        <v>0.5522</v>
      </c>
      <c r="D9" s="8" t="n">
        <v>0.5454</v>
      </c>
      <c r="E9" s="9">
        <f>ABS(C9-D9)*100</f>
        <v/>
      </c>
      <c r="F9" s="2" t="n">
        <v>1</v>
      </c>
      <c r="G9" s="10">
        <f>(C9-F9)^2</f>
        <v/>
      </c>
      <c r="H9" s="10">
        <f>(D9-F9)^2</f>
        <v/>
      </c>
      <c r="I9" s="2" t="inlineStr">
        <is>
          <t>clean</t>
        </is>
      </c>
    </row>
    <row r="10">
      <c r="A10" s="2" t="inlineStr">
        <is>
          <t>2026-07-30</t>
        </is>
      </c>
      <c r="B10" s="2" t="inlineStr">
        <is>
          <t>mlb-2026-07-30-wsh-atl</t>
        </is>
      </c>
      <c r="C10" s="8" t="n">
        <v>0.5255</v>
      </c>
      <c r="D10" s="8" t="n">
        <v>0.5665</v>
      </c>
      <c r="E10" s="9">
        <f>ABS(C10-D10)*100</f>
        <v/>
      </c>
      <c r="F10" s="2" t="n">
        <v>1</v>
      </c>
      <c r="G10" s="10">
        <f>(C10-F10)^2</f>
        <v/>
      </c>
      <c r="H10" s="10">
        <f>(D10-F10)^2</f>
        <v/>
      </c>
      <c r="I10" s="2" t="inlineStr">
        <is>
          <t>stale quote</t>
        </is>
      </c>
    </row>
    <row r="11">
      <c r="A11" s="2" t="inlineStr">
        <is>
          <t>2026-07-30</t>
        </is>
      </c>
      <c r="B11" s="2" t="inlineStr">
        <is>
          <t>mlb-2026-07-30-bos-ath</t>
        </is>
      </c>
      <c r="C11" s="8" t="n">
        <v>0.4117</v>
      </c>
      <c r="D11" s="8" t="n">
        <v>0.3733</v>
      </c>
      <c r="E11" s="9">
        <f>ABS(C11-D11)*100</f>
        <v/>
      </c>
      <c r="F11" s="2" t="n">
        <v>0</v>
      </c>
      <c r="G11" s="10">
        <f>(C11-F11)^2</f>
        <v/>
      </c>
      <c r="H11" s="10">
        <f>(D11-F11)^2</f>
        <v/>
      </c>
      <c r="I11" s="2" t="inlineStr">
        <is>
          <t>low-conf close</t>
        </is>
      </c>
    </row>
    <row r="12">
      <c r="A12" s="2" t="inlineStr">
        <is>
          <t>2026-07-30</t>
        </is>
      </c>
      <c r="B12" s="2" t="inlineStr">
        <is>
          <t>mlb-2026-07-30-nyy-cws</t>
        </is>
      </c>
      <c r="C12" s="8" t="n">
        <v>0.4317</v>
      </c>
      <c r="D12" s="8" t="n">
        <v>0.5115</v>
      </c>
      <c r="E12" s="9">
        <f>ABS(C12-D12)*100</f>
        <v/>
      </c>
      <c r="F12" s="2" t="n">
        <v>1</v>
      </c>
      <c r="G12" s="10">
        <f>(C12-F12)^2</f>
        <v/>
      </c>
      <c r="H12" s="10">
        <f>(D12-F12)^2</f>
        <v/>
      </c>
      <c r="I12" s="2" t="inlineStr">
        <is>
          <t>date trap</t>
        </is>
      </c>
    </row>
    <row r="13">
      <c r="A13" s="2" t="inlineStr">
        <is>
          <t>2026-07-30</t>
        </is>
      </c>
      <c r="B13" s="2" t="inlineStr">
        <is>
          <t>mlb-2026-07-30-sea-lad</t>
        </is>
      </c>
      <c r="C13" s="8" t="n">
        <v>0.5883</v>
      </c>
      <c r="D13" s="8" t="n">
        <v>0.5934</v>
      </c>
      <c r="E13" s="9">
        <f>ABS(C13-D13)*100</f>
        <v/>
      </c>
      <c r="F13" s="2" t="n">
        <v>1</v>
      </c>
      <c r="G13" s="10">
        <f>(C13-F13)^2</f>
        <v/>
      </c>
      <c r="H13" s="10">
        <f>(D13-F13)^2</f>
        <v/>
      </c>
      <c r="I13" s="2" t="inlineStr">
        <is>
          <t>clean</t>
        </is>
      </c>
    </row>
    <row r="14">
      <c r="A14" s="2" t="inlineStr">
        <is>
          <t>2026-08-01</t>
        </is>
      </c>
      <c r="B14" s="2" t="inlineStr">
        <is>
          <t>mls-2026-08-01-sea-por</t>
        </is>
      </c>
      <c r="C14" s="8" t="n">
        <v>0.4598</v>
      </c>
      <c r="D14" s="8" t="n">
        <v>0.4598</v>
      </c>
      <c r="E14" s="9">
        <f>ABS(C14-D14)*100</f>
        <v/>
      </c>
      <c r="F14" s="2" t="n">
        <v>1</v>
      </c>
      <c r="G14" s="10">
        <f>(C14-F14)^2</f>
        <v/>
      </c>
      <c r="H14" s="10">
        <f>(D14-F14)^2</f>
        <v/>
      </c>
      <c r="I14" s="2" t="inlineStr">
        <is>
          <t>clean</t>
        </is>
      </c>
    </row>
    <row r="15">
      <c r="A15" s="2" t="inlineStr">
        <is>
          <t>2026-08-01</t>
        </is>
      </c>
      <c r="B15" s="2" t="inlineStr">
        <is>
          <t>mlb-2026-08-01-pit-cin</t>
        </is>
      </c>
      <c r="C15" s="8" t="n">
        <v>0.4596</v>
      </c>
      <c r="D15" s="8" t="n">
        <v>0.4736</v>
      </c>
      <c r="E15" s="9">
        <f>ABS(C15-D15)*100</f>
        <v/>
      </c>
      <c r="F15" s="2" t="n">
        <v>0</v>
      </c>
      <c r="G15" s="10">
        <f>(C15-F15)^2</f>
        <v/>
      </c>
      <c r="H15" s="10">
        <f>(D15-F15)^2</f>
        <v/>
      </c>
      <c r="I15" s="2" t="inlineStr">
        <is>
          <t>clean</t>
        </is>
      </c>
    </row>
    <row r="16">
      <c r="A16" s="2" t="inlineStr">
        <is>
          <t>2026-08-01</t>
        </is>
      </c>
      <c r="B16" s="2" t="inlineStr">
        <is>
          <t>mlb-2026-08-01-cws-tb</t>
        </is>
      </c>
      <c r="C16" s="8" t="n">
        <v>0.5645</v>
      </c>
      <c r="D16" s="8" t="n">
        <v>0.6045</v>
      </c>
      <c r="E16" s="9">
        <f>ABS(C16-D16)*100</f>
        <v/>
      </c>
      <c r="F16" s="2" t="n">
        <v>1</v>
      </c>
      <c r="G16" s="10">
        <f>(C16-F16)^2</f>
        <v/>
      </c>
      <c r="H16" s="10">
        <f>(D16-F16)^2</f>
        <v/>
      </c>
      <c r="I16" s="2" t="inlineStr">
        <is>
          <t>clean</t>
        </is>
      </c>
    </row>
    <row r="17">
      <c r="A17" s="2" t="inlineStr">
        <is>
          <t>2026-08-01</t>
        </is>
      </c>
      <c r="B17" s="2" t="inlineStr">
        <is>
          <t>mlb-2026-08-01-mil-laa</t>
        </is>
      </c>
      <c r="C17" s="8" t="n">
        <v>0.4623</v>
      </c>
      <c r="D17" s="8" t="n">
        <v>0.4428</v>
      </c>
      <c r="E17" s="9">
        <f>ABS(C17-D17)*100</f>
        <v/>
      </c>
      <c r="F17" s="2" t="n">
        <v>0</v>
      </c>
      <c r="G17" s="10">
        <f>(C17-F17)^2</f>
        <v/>
      </c>
      <c r="H17" s="10">
        <f>(D17-F17)^2</f>
        <v/>
      </c>
      <c r="I17" s="2" t="inlineStr">
        <is>
          <t>clean</t>
        </is>
      </c>
    </row>
    <row r="18">
      <c r="A18" s="2" t="inlineStr">
        <is>
          <t>2026-08-01</t>
        </is>
      </c>
      <c r="B18" s="2" t="inlineStr">
        <is>
          <t>mlb-2026-08-01-det-ath</t>
        </is>
      </c>
      <c r="C18" s="8" t="n">
        <v>0.4006</v>
      </c>
      <c r="D18" s="8" t="n">
        <v>0.4424</v>
      </c>
      <c r="E18" s="9">
        <f>ABS(C18-D18)*100</f>
        <v/>
      </c>
      <c r="F18" s="2" t="n">
        <v>0</v>
      </c>
      <c r="G18" s="10">
        <f>(C18-F18)^2</f>
        <v/>
      </c>
      <c r="H18" s="10">
        <f>(D18-F18)^2</f>
        <v/>
      </c>
      <c r="I18" s="2" t="inlineStr">
        <is>
          <t>clean</t>
        </is>
      </c>
    </row>
    <row r="19">
      <c r="A19" s="2" t="inlineStr">
        <is>
          <t>2026-08-01</t>
        </is>
      </c>
      <c r="B19" s="2" t="inlineStr">
        <is>
          <t>mlb-2026-08-01-stl-tor</t>
        </is>
      </c>
      <c r="C19" s="8" t="n">
        <v>0.6113</v>
      </c>
      <c r="D19" s="8" t="n">
        <v>0.6116</v>
      </c>
      <c r="E19" s="9">
        <f>ABS(C19-D19)*100</f>
        <v/>
      </c>
      <c r="F19" s="2" t="n">
        <v>1</v>
      </c>
      <c r="G19" s="10">
        <f>(C19-F19)^2</f>
        <v/>
      </c>
      <c r="H19" s="10">
        <f>(D19-F19)^2</f>
        <v/>
      </c>
      <c r="I19" s="2" t="inlineStr">
        <is>
          <t>clean</t>
        </is>
      </c>
    </row>
    <row r="20">
      <c r="A20" s="2" t="inlineStr">
        <is>
          <t>2026-08-01</t>
        </is>
      </c>
      <c r="B20" s="2" t="inlineStr">
        <is>
          <t>mlb-2026-08-01-tex-hou</t>
        </is>
      </c>
      <c r="C20" s="8" t="n">
        <v>0.5454</v>
      </c>
      <c r="D20" s="8" t="n">
        <v>0.4654</v>
      </c>
      <c r="E20" s="9">
        <f>ABS(C20-D20)*100</f>
        <v/>
      </c>
      <c r="F20" s="2" t="n">
        <v>1</v>
      </c>
      <c r="G20" s="10">
        <f>(C20-F20)^2</f>
        <v/>
      </c>
      <c r="H20" s="10">
        <f>(D20-F20)^2</f>
        <v/>
      </c>
      <c r="I20" s="2" t="inlineStr">
        <is>
          <t>clean</t>
        </is>
      </c>
    </row>
    <row r="21">
      <c r="A21" s="2" t="inlineStr">
        <is>
          <t>2026-08-01</t>
        </is>
      </c>
      <c r="B21" s="2" t="inlineStr">
        <is>
          <t>mlb-2026-08-01-mia-nym</t>
        </is>
      </c>
      <c r="C21" s="8" t="n">
        <v>0.5454</v>
      </c>
      <c r="D21" s="8" t="n">
        <v>0.5502</v>
      </c>
      <c r="E21" s="9">
        <f>ABS(C21-D21)*100</f>
        <v/>
      </c>
      <c r="F21" s="2" t="n">
        <v>0</v>
      </c>
      <c r="G21" s="10">
        <f>(C21-F21)^2</f>
        <v/>
      </c>
      <c r="H21" s="10">
        <f>(D21-F21)^2</f>
        <v/>
      </c>
      <c r="I21" s="2" t="inlineStr">
        <is>
          <t>clean</t>
        </is>
      </c>
    </row>
    <row r="22">
      <c r="A22" s="2" t="inlineStr">
        <is>
          <t>2026-08-01</t>
        </is>
      </c>
      <c r="B22" s="2" t="inlineStr">
        <is>
          <t>mlb-2026-08-01-kc-col</t>
        </is>
      </c>
      <c r="C22" s="8" t="n">
        <v>0.5069</v>
      </c>
      <c r="D22" s="8" t="n">
        <v>0.5181</v>
      </c>
      <c r="E22" s="9">
        <f>ABS(C22-D22)*100</f>
        <v/>
      </c>
      <c r="F22" s="2" t="n">
        <v>1</v>
      </c>
      <c r="G22" s="10">
        <f>(C22-F22)^2</f>
        <v/>
      </c>
      <c r="H22" s="10">
        <f>(D22-F22)^2</f>
        <v/>
      </c>
      <c r="I22" s="2" t="inlineStr">
        <is>
          <t>clean</t>
        </is>
      </c>
    </row>
    <row r="23">
      <c r="A23" s="2" t="inlineStr">
        <is>
          <t>2026-08-01</t>
        </is>
      </c>
      <c r="B23" s="2" t="inlineStr">
        <is>
          <t>mlb-2026-08-01-phi-bal</t>
        </is>
      </c>
      <c r="C23" s="8" t="n">
        <v>0.4606</v>
      </c>
      <c r="D23" s="8" t="n">
        <v>0.4309</v>
      </c>
      <c r="E23" s="9">
        <f>ABS(C23-D23)*100</f>
        <v/>
      </c>
      <c r="F23" s="2" t="n">
        <v>0</v>
      </c>
      <c r="G23" s="10">
        <f>(C23-F23)^2</f>
        <v/>
      </c>
      <c r="H23" s="10">
        <f>(D23-F23)^2</f>
        <v/>
      </c>
      <c r="I23" s="2" t="inlineStr">
        <is>
          <t>clean</t>
        </is>
      </c>
    </row>
    <row r="24">
      <c r="A24" s="2" t="inlineStr">
        <is>
          <t>2026-08-01</t>
        </is>
      </c>
      <c r="B24" s="2" t="inlineStr">
        <is>
          <t>wnba-2026-08-01-phx-nyl</t>
        </is>
      </c>
      <c r="C24" s="8" t="n">
        <v>0.5589</v>
      </c>
      <c r="D24" s="8" t="n">
        <v>0.4411</v>
      </c>
      <c r="E24" s="9">
        <f>ABS(C24-D24)*100</f>
        <v/>
      </c>
      <c r="F24" s="2" t="n">
        <v>0</v>
      </c>
      <c r="G24" s="10">
        <f>(C24-F24)^2</f>
        <v/>
      </c>
      <c r="H24" s="10">
        <f>(D24-F24)^2</f>
        <v/>
      </c>
      <c r="I24" s="2" t="inlineStr">
        <is>
          <t>clean</t>
        </is>
      </c>
    </row>
    <row r="25">
      <c r="A25" s="2" t="inlineStr">
        <is>
          <t>2026-08-02</t>
        </is>
      </c>
      <c r="B25" s="2" t="inlineStr">
        <is>
          <t>mlb-2026-08-02-stl-tor</t>
        </is>
      </c>
      <c r="C25" s="8" t="n">
        <v>0.5279</v>
      </c>
      <c r="D25" s="8" t="n">
        <v>0.5294</v>
      </c>
      <c r="E25" s="9">
        <f>ABS(C25-D25)*100</f>
        <v/>
      </c>
      <c r="F25" s="2" t="n">
        <v>0</v>
      </c>
      <c r="G25" s="10">
        <f>(C25-F25)^2</f>
        <v/>
      </c>
      <c r="H25" s="10">
        <f>(D25-F25)^2</f>
        <v/>
      </c>
      <c r="I25" s="2" t="inlineStr">
        <is>
          <t>clean</t>
        </is>
      </c>
    </row>
    <row r="26">
      <c r="A26" s="2" t="inlineStr">
        <is>
          <t>2026-08-02</t>
        </is>
      </c>
      <c r="B26" s="2" t="inlineStr">
        <is>
          <t>mlb-2026-08-02-kc-col</t>
        </is>
      </c>
      <c r="C26" s="8" t="n">
        <v>0.5423</v>
      </c>
      <c r="D26" s="8" t="n">
        <v>0.5454</v>
      </c>
      <c r="E26" s="9">
        <f>ABS(C26-D26)*100</f>
        <v/>
      </c>
      <c r="F26" s="2" t="n">
        <v>1</v>
      </c>
      <c r="G26" s="10">
        <f>(C26-F26)^2</f>
        <v/>
      </c>
      <c r="H26" s="10">
        <f>(D26-F26)^2</f>
        <v/>
      </c>
      <c r="I26" s="2" t="inlineStr">
        <is>
          <t>clean</t>
        </is>
      </c>
    </row>
    <row r="27">
      <c r="A27" s="2" t="inlineStr">
        <is>
          <t>2026-08-02</t>
        </is>
      </c>
      <c r="B27" s="2" t="inlineStr">
        <is>
          <t>mlb-2026-08-02-mil-laa</t>
        </is>
      </c>
      <c r="C27" s="8" t="n">
        <v>0.3168</v>
      </c>
      <c r="D27" s="8" t="n">
        <v>0.3424</v>
      </c>
      <c r="E27" s="9">
        <f>ABS(C27-D27)*100</f>
        <v/>
      </c>
      <c r="F27" s="2" t="n">
        <v>1</v>
      </c>
      <c r="G27" s="10">
        <f>(C27-F27)^2</f>
        <v/>
      </c>
      <c r="H27" s="10">
        <f>(D27-F27)^2</f>
        <v/>
      </c>
      <c r="I27" s="2" t="inlineStr">
        <is>
          <t>clean</t>
        </is>
      </c>
    </row>
    <row r="28">
      <c r="A28" s="2" t="inlineStr">
        <is>
          <t>2026-08-02</t>
        </is>
      </c>
      <c r="B28" s="2" t="inlineStr">
        <is>
          <t>mlb-2026-08-02-nyy-chc</t>
        </is>
      </c>
      <c r="C28" s="8" t="n">
        <v>0.478</v>
      </c>
      <c r="D28" s="8" t="n">
        <v>0.4546</v>
      </c>
      <c r="E28" s="9">
        <f>ABS(C28-D28)*100</f>
        <v/>
      </c>
      <c r="F28" s="2" t="n">
        <v>0</v>
      </c>
      <c r="G28" s="10">
        <f>(C28-F28)^2</f>
        <v/>
      </c>
      <c r="H28" s="10">
        <f>(D28-F28)^2</f>
        <v/>
      </c>
      <c r="I28" s="2" t="inlineStr">
        <is>
          <t>clean</t>
        </is>
      </c>
    </row>
    <row r="29">
      <c r="A29" s="2" t="inlineStr">
        <is>
          <t>2026-08-02</t>
        </is>
      </c>
      <c r="B29" s="2" t="inlineStr">
        <is>
          <t>mlb-2026-08-02-wsh-atl</t>
        </is>
      </c>
      <c r="C29" s="8" t="n">
        <v>0.5492</v>
      </c>
      <c r="D29" s="8" t="n">
        <v>0.5367</v>
      </c>
      <c r="E29" s="9">
        <f>ABS(C29-D29)*100</f>
        <v/>
      </c>
      <c r="F29" s="2" t="n">
        <v>1</v>
      </c>
      <c r="G29" s="10">
        <f>(C29-F29)^2</f>
        <v/>
      </c>
      <c r="H29" s="10">
        <f>(D29-F29)^2</f>
        <v/>
      </c>
      <c r="I29" s="2" t="inlineStr">
        <is>
          <t>clean</t>
        </is>
      </c>
    </row>
    <row r="30">
      <c r="A30" s="2" t="inlineStr">
        <is>
          <t>2026-08-02</t>
        </is>
      </c>
      <c r="B30" s="2" t="inlineStr">
        <is>
          <t>mlb-2026-08-02-az-cle</t>
        </is>
      </c>
      <c r="C30" s="8" t="n">
        <v>0.5821</v>
      </c>
      <c r="D30" s="8" t="n">
        <v>0.5821</v>
      </c>
      <c r="E30" s="9">
        <f>ABS(C30-D30)*100</f>
        <v/>
      </c>
      <c r="F30" s="2" t="n">
        <v>1</v>
      </c>
      <c r="G30" s="10">
        <f>(C30-F30)^2</f>
        <v/>
      </c>
      <c r="H30" s="10">
        <f>(D30-F30)^2</f>
        <v/>
      </c>
      <c r="I30" s="2" t="inlineStr">
        <is>
          <t>clean</t>
        </is>
      </c>
    </row>
    <row r="31">
      <c r="A31" s="2" t="inlineStr">
        <is>
          <t>2026-08-02</t>
        </is>
      </c>
      <c r="B31" s="2" t="inlineStr">
        <is>
          <t>wnba-2026-08-02-la-por</t>
        </is>
      </c>
      <c r="C31" s="8" t="n">
        <v>0.5177</v>
      </c>
      <c r="D31" s="8" t="n">
        <v>0.5233</v>
      </c>
      <c r="E31" s="9">
        <f>ABS(C31-D31)*100</f>
        <v/>
      </c>
      <c r="F31" s="2" t="n">
        <v>0</v>
      </c>
      <c r="G31" s="10">
        <f>(C31-F31)^2</f>
        <v/>
      </c>
      <c r="H31" s="10">
        <f>(D31-F31)^2</f>
        <v/>
      </c>
      <c r="I31" s="2" t="inlineStr">
        <is>
          <t>clean</t>
        </is>
      </c>
    </row>
    <row r="32">
      <c r="A32" s="2" t="inlineStr">
        <is>
          <t>2026-08-02</t>
        </is>
      </c>
      <c r="B32" s="2" t="inlineStr">
        <is>
          <t>wta-2026-08-02-rakhimova-williams</t>
        </is>
      </c>
      <c r="C32" s="8" t="n">
        <v>0.2195</v>
      </c>
      <c r="D32" s="8" t="n">
        <v>0.2176</v>
      </c>
      <c r="E32" s="9">
        <f>ABS(C32-D32)*100</f>
        <v/>
      </c>
      <c r="F32" s="2" t="n">
        <v>0</v>
      </c>
      <c r="G32" s="10">
        <f>(C32-F32)^2</f>
        <v/>
      </c>
      <c r="H32" s="10">
        <f>(D32-F32)^2</f>
        <v/>
      </c>
      <c r="I32" s="2" t="inlineStr">
        <is>
          <t>clean</t>
        </is>
      </c>
    </row>
    <row r="33">
      <c r="A33" s="2" t="inlineStr">
        <is>
          <t>2026-08-02</t>
        </is>
      </c>
      <c r="B33" s="2" t="inlineStr">
        <is>
          <t>mlb-2026-08-02-det-ath</t>
        </is>
      </c>
      <c r="C33" s="8" t="n">
        <v>0.4313</v>
      </c>
      <c r="D33" s="8" t="n">
        <v>0.4547</v>
      </c>
      <c r="E33" s="9">
        <f>ABS(C33-D33)*100</f>
        <v/>
      </c>
      <c r="F33" s="2" t="n">
        <v>0</v>
      </c>
      <c r="G33" s="10">
        <f>(C33-F33)^2</f>
        <v/>
      </c>
      <c r="H33" s="10">
        <f>(D33-F33)^2</f>
        <v/>
      </c>
      <c r="I33" s="2" t="inlineStr">
        <is>
          <t>clean</t>
        </is>
      </c>
    </row>
    <row r="34">
      <c r="A34" s="2" t="inlineStr">
        <is>
          <t>2026-08-02</t>
        </is>
      </c>
      <c r="B34" s="2" t="inlineStr">
        <is>
          <t>mlb-2026-08-02-sfg-sdp</t>
        </is>
      </c>
      <c r="C34" s="8" t="n">
        <v>0.5951</v>
      </c>
      <c r="D34" s="8" t="n">
        <v>0.5815</v>
      </c>
      <c r="E34" s="9">
        <f>ABS(C34-D34)*100</f>
        <v/>
      </c>
      <c r="F34" s="2" t="n">
        <v>1</v>
      </c>
      <c r="G34" s="10">
        <f>(C34-F34)^2</f>
        <v/>
      </c>
      <c r="H34" s="10">
        <f>(D34-F34)^2</f>
        <v/>
      </c>
      <c r="I34" s="2" t="inlineStr">
        <is>
          <t>clean</t>
        </is>
      </c>
    </row>
    <row r="35">
      <c r="A35" s="2" t="inlineStr">
        <is>
          <t>2026-08-02</t>
        </is>
      </c>
      <c r="B35" s="2" t="inlineStr">
        <is>
          <t>mlb-2026-08-02-min-sea</t>
        </is>
      </c>
      <c r="C35" s="8" t="n">
        <v>0.5620000000000001</v>
      </c>
      <c r="D35" s="8" t="n">
        <v>0.5629999999999999</v>
      </c>
      <c r="E35" s="9">
        <f>ABS(C35-D35)*100</f>
        <v/>
      </c>
      <c r="F35" s="2" t="n">
        <v>1</v>
      </c>
      <c r="G35" s="10">
        <f>(C35-F35)^2</f>
        <v/>
      </c>
      <c r="H35" s="10">
        <f>(D35-F35)^2</f>
        <v/>
      </c>
      <c r="I35" s="2" t="inlineStr">
        <is>
          <t>clean</t>
        </is>
      </c>
    </row>
    <row r="36">
      <c r="A36" s="2" t="inlineStr">
        <is>
          <t>2026-08-02</t>
        </is>
      </c>
      <c r="B36" s="2" t="inlineStr">
        <is>
          <t>mlb-2026-08-02-bos-lad</t>
        </is>
      </c>
      <c r="C36" s="8" t="n">
        <v>0.6151</v>
      </c>
      <c r="D36" s="8" t="n">
        <v>0.6287</v>
      </c>
      <c r="E36" s="9">
        <f>ABS(C36-D36)*100</f>
        <v/>
      </c>
      <c r="F36" s="2" t="n">
        <v>0</v>
      </c>
      <c r="G36" s="10">
        <f>(C36-F36)^2</f>
        <v/>
      </c>
      <c r="H36" s="10">
        <f>(D36-F36)^2</f>
        <v/>
      </c>
      <c r="I36" s="2" t="inlineStr">
        <is>
          <t>clean</t>
        </is>
      </c>
    </row>
    <row r="37">
      <c r="A37" s="2" t="inlineStr">
        <is>
          <t>2026-08-02</t>
        </is>
      </c>
      <c r="B37" s="2" t="inlineStr">
        <is>
          <t>atp-2026-08-02-berrettini-navone</t>
        </is>
      </c>
      <c r="C37" s="8" t="n">
        <v>0.3522</v>
      </c>
      <c r="D37" s="8" t="n">
        <v>0.358</v>
      </c>
      <c r="E37" s="9">
        <f>ABS(C37-D37)*100</f>
        <v/>
      </c>
      <c r="F37" s="2" t="n">
        <v>1</v>
      </c>
      <c r="G37" s="10">
        <f>(C37-F37)^2</f>
        <v/>
      </c>
      <c r="H37" s="10">
        <f>(D37-F37)^2</f>
        <v/>
      </c>
      <c r="I37" s="2" t="inlineStr">
        <is>
          <t>clean</t>
        </is>
      </c>
    </row>
    <row r="38">
      <c r="A38" s="2" t="inlineStr">
        <is>
          <t>2026-08-02</t>
        </is>
      </c>
      <c r="B38" s="2" t="inlineStr">
        <is>
          <t>wta-2026-08-02-bartunkova-andreescu</t>
        </is>
      </c>
      <c r="C38" s="8" t="n">
        <v>0.416</v>
      </c>
      <c r="D38" s="8" t="n">
        <v>0.4042</v>
      </c>
      <c r="E38" s="9">
        <f>ABS(C38-D38)*100</f>
        <v/>
      </c>
      <c r="F38" s="2" t="n">
        <v>0</v>
      </c>
      <c r="G38" s="10">
        <f>(C38-F38)^2</f>
        <v/>
      </c>
      <c r="H38" s="10">
        <f>(D38-F38)^2</f>
        <v/>
      </c>
      <c r="I38" s="2" t="inlineStr">
        <is>
          <t>clean</t>
        </is>
      </c>
    </row>
    <row r="39">
      <c r="A39" s="2" t="inlineStr">
        <is>
          <t>2026-08-02</t>
        </is>
      </c>
      <c r="B39" s="2" t="inlineStr">
        <is>
          <t>ligamx-2026-08-02-san-ame</t>
        </is>
      </c>
      <c r="C39" s="8" t="n">
        <v>0.6858</v>
      </c>
      <c r="D39" s="8" t="n">
        <v>0.6949</v>
      </c>
      <c r="E39" s="9">
        <f>ABS(C39-D39)*100</f>
        <v/>
      </c>
      <c r="F39" s="2" t="n">
        <v>1</v>
      </c>
      <c r="G39" s="10">
        <f>(C39-F39)^2</f>
        <v/>
      </c>
      <c r="H39" s="10">
        <f>(D39-F39)^2</f>
        <v/>
      </c>
      <c r="I39" s="2" t="inlineStr">
        <is>
          <t>clean</t>
        </is>
      </c>
    </row>
    <row r="40">
      <c r="A40" s="2" t="inlineStr">
        <is>
          <t>2026-08-02</t>
        </is>
      </c>
      <c r="B40" s="2" t="inlineStr">
        <is>
          <t>cdb-2026-08-02-cru-cha</t>
        </is>
      </c>
      <c r="C40" s="8" t="n">
        <v>0.2043</v>
      </c>
      <c r="D40" s="8" t="n">
        <v>0.2275</v>
      </c>
      <c r="E40" s="9">
        <f>ABS(C40-D40)*100</f>
        <v/>
      </c>
      <c r="F40" s="2" t="n">
        <v>0</v>
      </c>
      <c r="G40" s="10">
        <f>(C40-F40)^2</f>
        <v/>
      </c>
      <c r="H40" s="10">
        <f>(D40-F40)^2</f>
        <v/>
      </c>
      <c r="I40" s="2" t="inlineStr">
        <is>
          <t>clean</t>
        </is>
      </c>
    </row>
    <row r="41">
      <c r="A41" s="2" t="inlineStr">
        <is>
          <t>2026-08-02</t>
        </is>
      </c>
      <c r="B41" s="2" t="inlineStr">
        <is>
          <t>cdb-2026-08-02-cor-int</t>
        </is>
      </c>
      <c r="C41" s="8" t="n">
        <v>0.4424</v>
      </c>
      <c r="D41" s="8" t="n">
        <v>0.4312</v>
      </c>
      <c r="E41" s="9">
        <f>ABS(C41-D41)*100</f>
        <v/>
      </c>
      <c r="F41" s="2" t="n">
        <v>1</v>
      </c>
      <c r="G41" s="10">
        <f>(C41-F41)^2</f>
        <v/>
      </c>
      <c r="H41" s="10">
        <f>(D41-F41)^2</f>
        <v/>
      </c>
      <c r="I41" s="2" t="inlineStr">
        <is>
          <t>clean</t>
        </is>
      </c>
    </row>
    <row r="42">
      <c r="A42" s="2" t="inlineStr">
        <is>
          <t>2026-08-03</t>
        </is>
      </c>
      <c r="B42" s="2" t="inlineStr">
        <is>
          <t>mlb-2026-08-03-stl-nyy</t>
        </is>
      </c>
      <c r="C42" s="8" t="n">
        <v>0.641</v>
      </c>
      <c r="D42" s="8" t="n">
        <v>0.6561</v>
      </c>
      <c r="E42" s="9">
        <f>ABS(C42-D42)*100</f>
        <v/>
      </c>
      <c r="F42" s="2" t="n">
        <v>0</v>
      </c>
      <c r="G42" s="10">
        <f>(C42-F42)^2</f>
        <v/>
      </c>
      <c r="H42" s="10">
        <f>(D42-F42)^2</f>
        <v/>
      </c>
      <c r="I42" s="2" t="inlineStr">
        <is>
          <t>clean</t>
        </is>
      </c>
    </row>
    <row r="43">
      <c r="A43" s="2" t="inlineStr">
        <is>
          <t>2026-08-03</t>
        </is>
      </c>
      <c r="B43" s="2" t="inlineStr">
        <is>
          <t>mlb-2026-08-03-wsh-phi</t>
        </is>
      </c>
      <c r="C43" s="8" t="n">
        <v>0.5744</v>
      </c>
      <c r="D43" s="8" t="n">
        <v>0.5899</v>
      </c>
      <c r="E43" s="9">
        <f>ABS(C43-D43)*100</f>
        <v/>
      </c>
      <c r="F43" s="2" t="n">
        <v>1</v>
      </c>
      <c r="G43" s="10">
        <f>(C43-F43)^2</f>
        <v/>
      </c>
      <c r="H43" s="10">
        <f>(D43-F43)^2</f>
        <v/>
      </c>
      <c r="I43" s="2" t="inlineStr">
        <is>
          <t>clean</t>
        </is>
      </c>
    </row>
    <row r="44">
      <c r="A44" s="2" t="inlineStr">
        <is>
          <t>2026-08-03</t>
        </is>
      </c>
      <c r="B44" s="2" t="inlineStr">
        <is>
          <t>mlb-2026-08-03-lad-chc</t>
        </is>
      </c>
      <c r="C44" s="8" t="n">
        <v>0.4597</v>
      </c>
      <c r="D44" s="8" t="n">
        <v>0.4631</v>
      </c>
      <c r="E44" s="9">
        <f>ABS(C44-D44)*100</f>
        <v/>
      </c>
      <c r="F44" s="2" t="n">
        <v>1</v>
      </c>
      <c r="G44" s="10">
        <f>(C44-F44)^2</f>
        <v/>
      </c>
      <c r="H44" s="10">
        <f>(D44-F44)^2</f>
        <v/>
      </c>
      <c r="I44" s="2" t="inlineStr">
        <is>
          <t>clean</t>
        </is>
      </c>
    </row>
    <row r="45">
      <c r="A45" s="2" t="inlineStr">
        <is>
          <t>2026-08-03</t>
        </is>
      </c>
      <c r="B45" s="2" t="inlineStr">
        <is>
          <t>mlb-2026-08-03-sfg-tex</t>
        </is>
      </c>
      <c r="C45" s="8" t="n">
        <v>0.5049</v>
      </c>
      <c r="D45" s="8" t="n">
        <v>0.5091</v>
      </c>
      <c r="E45" s="9">
        <f>ABS(C45-D45)*100</f>
        <v/>
      </c>
      <c r="F45" s="2" t="n">
        <v>0</v>
      </c>
      <c r="G45" s="10">
        <f>(C45-F45)^2</f>
        <v/>
      </c>
      <c r="H45" s="10">
        <f>(D45-F45)^2</f>
        <v/>
      </c>
      <c r="I45" s="2" t="inlineStr">
        <is>
          <t>clean</t>
        </is>
      </c>
    </row>
    <row r="46">
      <c r="A46" s="2" t="inlineStr">
        <is>
          <t>2026-08-03</t>
        </is>
      </c>
      <c r="B46" s="2" t="inlineStr">
        <is>
          <t>mlb-2026-08-03-tb-col</t>
        </is>
      </c>
      <c r="C46" s="8" t="n">
        <v>0.3991</v>
      </c>
      <c r="D46" s="8" t="n">
        <v>0.3963</v>
      </c>
      <c r="E46" s="9">
        <f>ABS(C46-D46)*100</f>
        <v/>
      </c>
      <c r="F46" s="2" t="n">
        <v>0</v>
      </c>
      <c r="G46" s="10">
        <f>(C46-F46)^2</f>
        <v/>
      </c>
      <c r="H46" s="10">
        <f>(D46-F46)^2</f>
        <v/>
      </c>
      <c r="I46" s="2" t="inlineStr">
        <is>
          <t>clean</t>
        </is>
      </c>
    </row>
    <row r="47">
      <c r="A47" s="2" t="inlineStr">
        <is>
          <t>2026-08-03</t>
        </is>
      </c>
      <c r="B47" s="2" t="inlineStr">
        <is>
          <t>wnba-2026-08-03-sea-nyl</t>
        </is>
      </c>
      <c r="C47" s="8" t="n">
        <v>0.8017</v>
      </c>
      <c r="D47" s="8" t="n">
        <v>0.7405</v>
      </c>
      <c r="E47" s="9">
        <f>ABS(C47-D47)*100</f>
        <v/>
      </c>
      <c r="F47" s="2" t="n">
        <v>1</v>
      </c>
      <c r="G47" s="10">
        <f>(C47-F47)^2</f>
        <v/>
      </c>
      <c r="H47" s="10">
        <f>(D47-F47)^2</f>
        <v/>
      </c>
      <c r="I47" s="2" t="inlineStr">
        <is>
          <t>clean</t>
        </is>
      </c>
    </row>
    <row r="48">
      <c r="A48" s="2" t="inlineStr">
        <is>
          <t>2026-08-03</t>
        </is>
      </c>
      <c r="B48" s="2" t="inlineStr">
        <is>
          <t>arg-2026-08-03-ind-vel</t>
        </is>
      </c>
      <c r="C48" s="8" t="n">
        <v>0.3919</v>
      </c>
      <c r="D48" s="8" t="n">
        <v>0.3751</v>
      </c>
      <c r="E48" s="9">
        <f>ABS(C48-D48)*100</f>
        <v/>
      </c>
      <c r="F48" s="2" t="n">
        <v>1</v>
      </c>
      <c r="G48" s="10">
        <f>(C48-F48)^2</f>
        <v/>
      </c>
      <c r="H48" s="10">
        <f>(D48-F48)^2</f>
        <v/>
      </c>
      <c r="I48" s="2" t="inlineStr">
        <is>
          <t>clean</t>
        </is>
      </c>
    </row>
    <row r="49">
      <c r="A49" s="2" t="inlineStr">
        <is>
          <t>2026-08-03</t>
        </is>
      </c>
      <c r="B49" s="2" t="inlineStr">
        <is>
          <t>arg-2026-08-03-tal-pla</t>
        </is>
      </c>
      <c r="C49" s="8" t="n">
        <v>0.3776</v>
      </c>
      <c r="D49" s="8" t="n">
        <v>0.3776</v>
      </c>
      <c r="E49" s="9">
        <f>ABS(C49-D49)*100</f>
        <v/>
      </c>
      <c r="F49" s="2" t="n">
        <v>0</v>
      </c>
      <c r="G49" s="10">
        <f>(C49-F49)^2</f>
        <v/>
      </c>
      <c r="H49" s="10">
        <f>(D49-F49)^2</f>
        <v/>
      </c>
      <c r="I49" s="2" t="inlineStr">
        <is>
          <t>clean</t>
        </is>
      </c>
    </row>
    <row r="50">
      <c r="A50" s="2" t="inlineStr">
        <is>
          <t>2026-08-06</t>
        </is>
      </c>
      <c r="B50" s="2" t="inlineStr">
        <is>
          <t>mlb-2026-08-06-ath-cin</t>
        </is>
      </c>
      <c r="C50" s="8" t="n">
        <v>0.6104000000000001</v>
      </c>
      <c r="D50" s="8" t="n">
        <v>0.6038</v>
      </c>
      <c r="E50" s="9">
        <f>ABS(C50-D50)*100</f>
        <v/>
      </c>
      <c r="F50" s="2" t="n">
        <v>1</v>
      </c>
      <c r="G50" s="10">
        <f>(C50-F50)^2</f>
        <v/>
      </c>
      <c r="H50" s="10">
        <f>(D50-F50)^2</f>
        <v/>
      </c>
      <c r="I50" s="2" t="inlineStr">
        <is>
          <t>clean</t>
        </is>
      </c>
    </row>
    <row r="51">
      <c r="A51" s="2" t="inlineStr">
        <is>
          <t>2026-08-06</t>
        </is>
      </c>
      <c r="B51" s="2" t="inlineStr">
        <is>
          <t>nfl-2026-08-06-ari-car</t>
        </is>
      </c>
      <c r="C51" s="8" t="n">
        <v>0.5112</v>
      </c>
      <c r="D51" s="8" t="n">
        <v>0.5302</v>
      </c>
      <c r="E51" s="9">
        <f>ABS(C51-D51)*100</f>
        <v/>
      </c>
      <c r="F51" s="2" t="n">
        <v>1</v>
      </c>
      <c r="G51" s="10">
        <f>(C51-F51)^2</f>
        <v/>
      </c>
      <c r="H51" s="10">
        <f>(D51-F51)^2</f>
        <v/>
      </c>
      <c r="I51" s="2" t="inlineStr">
        <is>
          <t>clean</t>
        </is>
      </c>
    </row>
    <row r="52">
      <c r="A52" s="2" t="inlineStr">
        <is>
          <t>2026-08-06</t>
        </is>
      </c>
      <c r="B52" s="2" t="inlineStr">
        <is>
          <t>uecl-2026-08-06-din-bra</t>
        </is>
      </c>
      <c r="C52" s="8" t="n">
        <v>0.898</v>
      </c>
      <c r="D52" s="8" t="n">
        <v>0.898</v>
      </c>
      <c r="E52" s="9">
        <f>ABS(C52-D52)*100</f>
        <v/>
      </c>
      <c r="F52" s="2" t="n">
        <v>1</v>
      </c>
      <c r="G52" s="10">
        <f>(C52-F52)^2</f>
        <v/>
      </c>
      <c r="H52" s="10">
        <f>(D52-F52)^2</f>
        <v/>
      </c>
      <c r="I52" s="2" t="inlineStr">
        <is>
          <t>clean</t>
        </is>
      </c>
    </row>
    <row r="53">
      <c r="A53" s="2" t="inlineStr">
        <is>
          <t>2026-08-10</t>
        </is>
      </c>
      <c r="B53" s="2" t="inlineStr">
        <is>
          <t>mlb-2026-08-10-nym-atl</t>
        </is>
      </c>
      <c r="C53" s="8" t="n">
        <v>0.6088</v>
      </c>
      <c r="D53" s="8" t="n">
        <v>0.5757</v>
      </c>
      <c r="E53" s="9">
        <f>ABS(C53-D53)*100</f>
        <v/>
      </c>
      <c r="F53" s="2" t="n">
        <v>0</v>
      </c>
      <c r="G53" s="10">
        <f>(C53-F53)^2</f>
        <v/>
      </c>
      <c r="H53" s="10">
        <f>(D53-F53)^2</f>
        <v/>
      </c>
      <c r="I53" s="2" t="inlineStr">
        <is>
          <t>clean</t>
        </is>
      </c>
    </row>
    <row r="54">
      <c r="A54" s="2" t="inlineStr">
        <is>
          <t>2026-08-10</t>
        </is>
      </c>
      <c r="B54" s="2" t="inlineStr">
        <is>
          <t>mlb-2026-08-10-bos-tor</t>
        </is>
      </c>
      <c r="C54" s="8" t="n">
        <v>0.4078</v>
      </c>
      <c r="D54" s="8" t="n">
        <v>0.3991</v>
      </c>
      <c r="E54" s="9">
        <f>ABS(C54-D54)*100</f>
        <v/>
      </c>
      <c r="F54" s="2" t="n">
        <v>1</v>
      </c>
      <c r="G54" s="10">
        <f>(C54-F54)^2</f>
        <v/>
      </c>
      <c r="H54" s="10">
        <f>(D54-F54)^2</f>
        <v/>
      </c>
      <c r="I54" s="2" t="inlineStr">
        <is>
          <t>clean</t>
        </is>
      </c>
    </row>
    <row r="55">
      <c r="A55" s="2" t="inlineStr">
        <is>
          <t>2026-08-10</t>
        </is>
      </c>
      <c r="B55" s="2" t="inlineStr">
        <is>
          <t>wnba-2026-08-10-tor-atl</t>
        </is>
      </c>
      <c r="C55" s="8" t="n">
        <v>0.8693</v>
      </c>
      <c r="D55" s="8" t="n">
        <v>0.8693</v>
      </c>
      <c r="E55" s="9">
        <f>ABS(C55-D55)*100</f>
        <v/>
      </c>
      <c r="F55" s="2" t="n">
        <v>1</v>
      </c>
      <c r="G55" s="10">
        <f>(C55-F55)^2</f>
        <v/>
      </c>
      <c r="H55" s="10">
        <f>(D55-F55)^2</f>
        <v/>
      </c>
      <c r="I55" s="2" t="inlineStr">
        <is>
          <t>clean</t>
        </is>
      </c>
    </row>
    <row r="56">
      <c r="A56" s="2" t="inlineStr">
        <is>
          <t>2026-08-10</t>
        </is>
      </c>
      <c r="B56" s="2" t="inlineStr">
        <is>
          <t>wta-2026-08-10-shn-swi</t>
        </is>
      </c>
      <c r="C56" s="8" t="n">
        <v>0.7305</v>
      </c>
      <c r="D56" s="8" t="n">
        <v>0.7289</v>
      </c>
      <c r="E56" s="9">
        <f>ABS(C56-D56)*100</f>
        <v/>
      </c>
      <c r="F56" s="2" t="n">
        <v>1</v>
      </c>
      <c r="G56" s="10">
        <f>(C56-F56)^2</f>
        <v/>
      </c>
      <c r="H56" s="10">
        <f>(D56-F56)^2</f>
        <v/>
      </c>
      <c r="I56" s="2" t="inlineStr">
        <is>
          <t>clean</t>
        </is>
      </c>
    </row>
    <row r="57">
      <c r="A57" s="2" t="inlineStr">
        <is>
          <t>2026-08-10</t>
        </is>
      </c>
      <c r="B57" s="2" t="inlineStr">
        <is>
          <t>arg-2026-08-10-cc-uni</t>
        </is>
      </c>
      <c r="C57" s="8" t="n">
        <v>0.3265</v>
      </c>
      <c r="D57" s="8" t="n">
        <v>0.3265</v>
      </c>
      <c r="E57" s="9">
        <f>ABS(C57-D57)*100</f>
        <v/>
      </c>
      <c r="F57" s="2" t="n">
        <v>0</v>
      </c>
      <c r="G57" s="10">
        <f>(C57-F57)^2</f>
        <v/>
      </c>
      <c r="H57" s="10">
        <f>(D57-F57)^2</f>
        <v/>
      </c>
      <c r="I57" s="2" t="inlineStr">
        <is>
          <t>clean</t>
        </is>
      </c>
    </row>
    <row r="58">
      <c r="A58" s="2" t="inlineStr">
        <is>
          <t>2026-08-10</t>
        </is>
      </c>
      <c r="B58" s="2" t="inlineStr">
        <is>
          <t>mlb-2026-08-10-phi-stl</t>
        </is>
      </c>
      <c r="C58" s="8" t="n">
        <v>0.497</v>
      </c>
      <c r="D58" s="8" t="n">
        <v>0.4767</v>
      </c>
      <c r="E58" s="9">
        <f>ABS(C58-D58)*100</f>
        <v/>
      </c>
      <c r="F58" s="2" t="n">
        <v>0</v>
      </c>
      <c r="G58" s="10">
        <f>(C58-F58)^2</f>
        <v/>
      </c>
      <c r="H58" s="10">
        <f>(D58-F58)^2</f>
        <v/>
      </c>
      <c r="I58" s="2" t="inlineStr">
        <is>
          <t>clean</t>
        </is>
      </c>
    </row>
    <row r="59">
      <c r="A59" s="2" t="inlineStr">
        <is>
          <t>2026-08-10</t>
        </is>
      </c>
      <c r="B59" s="2" t="inlineStr">
        <is>
          <t>mlb-2026-08-10-bal-min</t>
        </is>
      </c>
      <c r="C59" s="8" t="n">
        <v>0.4957</v>
      </c>
      <c r="D59" s="8" t="n">
        <v>0.4814</v>
      </c>
      <c r="E59" s="9">
        <f>ABS(C59-D59)*100</f>
        <v/>
      </c>
      <c r="F59" s="2" t="n">
        <v>1</v>
      </c>
      <c r="G59" s="10">
        <f>(C59-F59)^2</f>
        <v/>
      </c>
      <c r="H59" s="10">
        <f>(D59-F59)^2</f>
        <v/>
      </c>
      <c r="I59" s="2" t="inlineStr">
        <is>
          <t>clean</t>
        </is>
      </c>
    </row>
    <row r="60">
      <c r="A60" s="2" t="inlineStr">
        <is>
          <t>2026-08-10</t>
        </is>
      </c>
      <c r="B60" s="2" t="inlineStr">
        <is>
          <t>mlb-2026-08-10-col-az</t>
        </is>
      </c>
      <c r="C60" s="8" t="n">
        <v>0.6313</v>
      </c>
      <c r="D60" s="8" t="n">
        <v>0.6526999999999999</v>
      </c>
      <c r="E60" s="9">
        <f>ABS(C60-D60)*100</f>
        <v/>
      </c>
      <c r="F60" s="2" t="n">
        <v>1</v>
      </c>
      <c r="G60" s="10">
        <f>(C60-F60)^2</f>
        <v/>
      </c>
      <c r="H60" s="10">
        <f>(D60-F60)^2</f>
        <v/>
      </c>
      <c r="I60" s="2" t="inlineStr">
        <is>
          <t>clean</t>
        </is>
      </c>
    </row>
    <row r="61">
      <c r="A61" s="2" t="inlineStr">
        <is>
          <t>2026-08-10</t>
        </is>
      </c>
      <c r="B61" s="2" t="inlineStr">
        <is>
          <t>mlb-2026-08-10-tb-ath</t>
        </is>
      </c>
      <c r="C61" s="8" t="n">
        <v>0.4057</v>
      </c>
      <c r="D61" s="8" t="n">
        <v>0.4074</v>
      </c>
      <c r="E61" s="9">
        <f>ABS(C61-D61)*100</f>
        <v/>
      </c>
      <c r="F61" s="2" t="n">
        <v>0</v>
      </c>
      <c r="G61" s="10">
        <f>(C61-F61)^2</f>
        <v/>
      </c>
      <c r="H61" s="10">
        <f>(D61-F61)^2</f>
        <v/>
      </c>
      <c r="I61" s="2" t="inlineStr">
        <is>
          <t>clean</t>
        </is>
      </c>
    </row>
    <row r="62">
      <c r="A62" s="2" t="inlineStr">
        <is>
          <t>2026-08-10</t>
        </is>
      </c>
      <c r="B62" s="2" t="inlineStr">
        <is>
          <t>mlb-2026-08-10-hou-sf</t>
        </is>
      </c>
      <c r="C62" s="8" t="n">
        <v>0.411</v>
      </c>
      <c r="D62" s="8" t="n">
        <v>0.4162</v>
      </c>
      <c r="E62" s="9">
        <f>ABS(C62-D62)*100</f>
        <v/>
      </c>
      <c r="F62" s="2" t="n">
        <v>0</v>
      </c>
      <c r="G62" s="10">
        <f>(C62-F62)^2</f>
        <v/>
      </c>
      <c r="H62" s="10">
        <f>(D62-F62)^2</f>
        <v/>
      </c>
      <c r="I62" s="2" t="inlineStr">
        <is>
          <t>clean</t>
        </is>
      </c>
    </row>
    <row r="63">
      <c r="A63" s="2" t="inlineStr">
        <is>
          <t>2026-08-10</t>
        </is>
      </c>
      <c r="B63" s="2" t="inlineStr">
        <is>
          <t>mlb-2026-08-10-tex-laa</t>
        </is>
      </c>
      <c r="C63" s="8" t="n">
        <v>0.4789</v>
      </c>
      <c r="D63" s="8" t="n">
        <v>0.4814</v>
      </c>
      <c r="E63" s="9">
        <f>ABS(C63-D63)*100</f>
        <v/>
      </c>
      <c r="F63" s="2" t="n">
        <v>0</v>
      </c>
      <c r="G63" s="10">
        <f>(C63-F63)^2</f>
        <v/>
      </c>
      <c r="H63" s="10">
        <f>(D63-F63)^2</f>
        <v/>
      </c>
      <c r="I63" s="2" t="inlineStr">
        <is>
          <t>clean</t>
        </is>
      </c>
    </row>
    <row r="64">
      <c r="A64" s="2" t="inlineStr">
        <is>
          <t>2026-08-10</t>
        </is>
      </c>
      <c r="B64" s="2" t="inlineStr">
        <is>
          <t>wta-2026-08-10-ale-svi</t>
        </is>
      </c>
      <c r="C64" s="8" t="n">
        <v>0.6999</v>
      </c>
      <c r="D64" s="8" t="n">
        <v>0.6801</v>
      </c>
      <c r="E64" s="9">
        <f>ABS(C64-D64)*100</f>
        <v/>
      </c>
      <c r="F64" s="2" t="n">
        <v>1</v>
      </c>
      <c r="G64" s="10">
        <f>(C64-F64)^2</f>
        <v/>
      </c>
      <c r="H64" s="10">
        <f>(D64-F64)^2</f>
        <v/>
      </c>
      <c r="I64" s="2" t="inlineStr">
        <is>
          <t>clean</t>
        </is>
      </c>
    </row>
    <row r="65">
      <c r="A65" s="2" t="inlineStr">
        <is>
          <t>2026-08-11</t>
        </is>
      </c>
      <c r="B65" s="2" t="inlineStr">
        <is>
          <t>mlb-2026-08-11-cle-det</t>
        </is>
      </c>
      <c r="C65" s="8" t="n">
        <v>0.4737</v>
      </c>
      <c r="D65" s="8" t="n">
        <v>0.5372</v>
      </c>
      <c r="E65" s="9">
        <f>ABS(C65-D65)*100</f>
        <v/>
      </c>
      <c r="F65" s="2" t="n">
        <v>1</v>
      </c>
      <c r="G65" s="10">
        <f>(C65-F65)^2</f>
        <v/>
      </c>
      <c r="H65" s="10">
        <f>(D65-F65)^2</f>
        <v/>
      </c>
      <c r="I65" s="2" t="inlineStr">
        <is>
          <t>clean</t>
        </is>
      </c>
    </row>
    <row r="66">
      <c r="A66" s="2" t="inlineStr">
        <is>
          <t>2026-08-11</t>
        </is>
      </c>
      <c r="B66" s="2" t="inlineStr">
        <is>
          <t>mlb-2026-08-11-tb-ath</t>
        </is>
      </c>
      <c r="C66" s="8" t="n">
        <v>0.4042</v>
      </c>
      <c r="D66" s="8" t="n">
        <v>0.3655</v>
      </c>
      <c r="E66" s="9">
        <f>ABS(C66-D66)*100</f>
        <v/>
      </c>
      <c r="F66" s="2" t="n">
        <v>0</v>
      </c>
      <c r="G66" s="10">
        <f>(C66-F66)^2</f>
        <v/>
      </c>
      <c r="H66" s="10">
        <f>(D66-F66)^2</f>
        <v/>
      </c>
      <c r="I66" s="2" t="inlineStr">
        <is>
          <t>clean</t>
        </is>
      </c>
    </row>
    <row r="67">
      <c r="A67" s="2" t="inlineStr">
        <is>
          <t>2026-08-11</t>
        </is>
      </c>
      <c r="B67" s="2" t="inlineStr">
        <is>
          <t>mlb-2026-08-11-sea-nyy</t>
        </is>
      </c>
      <c r="C67" s="8" t="n">
        <v>0.5504</v>
      </c>
      <c r="D67" s="8" t="n">
        <v>0.5454</v>
      </c>
      <c r="E67" s="9">
        <f>ABS(C67-D67)*100</f>
        <v/>
      </c>
      <c r="F67" s="2" t="n">
        <v>1</v>
      </c>
      <c r="G67" s="10">
        <f>(C67-F67)^2</f>
        <v/>
      </c>
      <c r="H67" s="10">
        <f>(D67-F67)^2</f>
        <v/>
      </c>
      <c r="I67" s="2" t="inlineStr">
        <is>
          <t>clean</t>
        </is>
      </c>
    </row>
    <row r="68">
      <c r="A68" s="2" t="inlineStr">
        <is>
          <t>2026-08-11</t>
        </is>
      </c>
      <c r="B68" s="2" t="inlineStr">
        <is>
          <t>mlb-2026-08-11-pit-mia</t>
        </is>
      </c>
      <c r="C68" s="8" t="n">
        <v>0.4751</v>
      </c>
      <c r="D68" s="8" t="n">
        <v>0.4851</v>
      </c>
      <c r="E68" s="9">
        <f>ABS(C68-D68)*100</f>
        <v/>
      </c>
      <c r="F68" s="2" t="n">
        <v>1</v>
      </c>
      <c r="G68" s="10">
        <f>(C68-F68)^2</f>
        <v/>
      </c>
      <c r="H68" s="10">
        <f>(D68-F68)^2</f>
        <v/>
      </c>
      <c r="I68" s="2" t="inlineStr">
        <is>
          <t>clean</t>
        </is>
      </c>
    </row>
    <row r="69">
      <c r="A69" s="2" t="inlineStr">
        <is>
          <t>2026-08-11</t>
        </is>
      </c>
      <c r="B69" s="2" t="inlineStr">
        <is>
          <t>mlb-2026-08-11-nym-atl</t>
        </is>
      </c>
      <c r="C69" s="8" t="n">
        <v>0.6398</v>
      </c>
      <c r="D69" s="8" t="n">
        <v>0.5434</v>
      </c>
      <c r="E69" s="9">
        <f>ABS(C69-D69)*100</f>
        <v/>
      </c>
      <c r="F69" s="2" t="n">
        <v>1</v>
      </c>
      <c r="G69" s="10">
        <f>(C69-F69)^2</f>
        <v/>
      </c>
      <c r="H69" s="10">
        <f>(D69-F69)^2</f>
        <v/>
      </c>
      <c r="I69" s="2" t="inlineStr">
        <is>
          <t>clean</t>
        </is>
      </c>
    </row>
    <row r="70">
      <c r="A70" s="2" t="inlineStr">
        <is>
          <t>2026-08-11</t>
        </is>
      </c>
      <c r="B70" s="2" t="inlineStr">
        <is>
          <t>mlb-2026-08-11-col-az</t>
        </is>
      </c>
      <c r="C70" s="8" t="n">
        <v>0.6277</v>
      </c>
      <c r="D70" s="8" t="n">
        <v>0.622</v>
      </c>
      <c r="E70" s="9">
        <f>ABS(C70-D70)*100</f>
        <v/>
      </c>
      <c r="F70" s="2" t="n">
        <v>0</v>
      </c>
      <c r="G70" s="10">
        <f>(C70-F70)^2</f>
        <v/>
      </c>
      <c r="H70" s="10">
        <f>(D70-F70)^2</f>
        <v/>
      </c>
      <c r="I70" s="2" t="inlineStr">
        <is>
          <t>clean</t>
        </is>
      </c>
    </row>
    <row r="71">
      <c r="A71" s="2" t="inlineStr">
        <is>
          <t>2026-08-11</t>
        </is>
      </c>
      <c r="B71" s="2" t="inlineStr">
        <is>
          <t>lc-2026-08-11-pum-clb</t>
        </is>
      </c>
      <c r="C71" s="8" t="n">
        <v>0.6123</v>
      </c>
      <c r="D71" s="8" t="n">
        <v>0.6123</v>
      </c>
      <c r="E71" s="9">
        <f>ABS(C71-D71)*100</f>
        <v/>
      </c>
      <c r="F71" s="2" t="n">
        <v>0</v>
      </c>
      <c r="G71" s="10">
        <f>(C71-F71)^2</f>
        <v/>
      </c>
      <c r="H71" s="10">
        <f>(D71-F71)^2</f>
        <v/>
      </c>
      <c r="I71" s="2" t="inlineStr">
        <is>
          <t>clean</t>
        </is>
      </c>
    </row>
    <row r="72">
      <c r="A72" s="2" t="inlineStr">
        <is>
          <t>2026-08-11</t>
        </is>
      </c>
      <c r="B72" s="2" t="inlineStr">
        <is>
          <t>lc-2026-08-11-jua-rsl</t>
        </is>
      </c>
      <c r="C72" s="8" t="n">
        <v>0.5406</v>
      </c>
      <c r="D72" s="8" t="n">
        <v>0.5504</v>
      </c>
      <c r="E72" s="9">
        <f>ABS(C72-D72)*100</f>
        <v/>
      </c>
      <c r="F72" s="2" t="n">
        <v>1</v>
      </c>
      <c r="G72" s="10">
        <f>(C72-F72)^2</f>
        <v/>
      </c>
      <c r="H72" s="10">
        <f>(D72-F72)^2</f>
        <v/>
      </c>
      <c r="I72" s="2" t="inlineStr">
        <is>
          <t>clean</t>
        </is>
      </c>
    </row>
    <row r="73">
      <c r="A73" s="2" t="inlineStr">
        <is>
          <t>2026-08-11</t>
        </is>
      </c>
      <c r="B73" s="2" t="inlineStr">
        <is>
          <t>ucl-2026-08-11-spa-lyo</t>
        </is>
      </c>
      <c r="C73" s="8" t="n">
        <v>0.678</v>
      </c>
      <c r="D73" s="8" t="n">
        <v>0.7233000000000001</v>
      </c>
      <c r="E73" s="9">
        <f>ABS(C73-D73)*100</f>
        <v/>
      </c>
      <c r="F73" s="2" t="n">
        <v>1</v>
      </c>
      <c r="G73" s="10">
        <f>(C73-F73)^2</f>
        <v/>
      </c>
      <c r="H73" s="10">
        <f>(D73-F73)^2</f>
        <v/>
      </c>
      <c r="I73" s="2" t="inlineStr">
        <is>
          <t>clean</t>
        </is>
      </c>
    </row>
    <row r="74">
      <c r="A74" s="2" t="inlineStr">
        <is>
          <t>2026-08-11</t>
        </is>
      </c>
      <c r="B74" s="2" t="inlineStr">
        <is>
          <t>ucl-2026-08-11-fen-stu</t>
        </is>
      </c>
      <c r="C74" s="8" t="n">
        <v>0.2391</v>
      </c>
      <c r="D74" s="8" t="n">
        <v>0.2474</v>
      </c>
      <c r="E74" s="9">
        <f>ABS(C74-D74)*100</f>
        <v/>
      </c>
      <c r="F74" s="2" t="n">
        <v>0</v>
      </c>
      <c r="G74" s="10">
        <f>(C74-F74)^2</f>
        <v/>
      </c>
      <c r="H74" s="10">
        <f>(D74-F74)^2</f>
        <v/>
      </c>
      <c r="I74" s="2" t="inlineStr">
        <is>
          <t>clean</t>
        </is>
      </c>
    </row>
    <row r="75">
      <c r="A75" s="2" t="inlineStr">
        <is>
          <t>2026-08-12</t>
        </is>
      </c>
      <c r="B75" s="2" t="inlineStr">
        <is>
          <t>mlb-2026-08-12-nym-atl</t>
        </is>
      </c>
      <c r="C75" s="8" t="n">
        <v>0.6152</v>
      </c>
      <c r="D75" s="8" t="n">
        <v>0.6152</v>
      </c>
      <c r="E75" s="9">
        <f>ABS(C75-D75)*100</f>
        <v/>
      </c>
      <c r="F75" s="2" t="n">
        <v>1</v>
      </c>
      <c r="G75" s="10">
        <f>(C75-F75)^2</f>
        <v/>
      </c>
      <c r="H75" s="10">
        <f>(D75-F75)^2</f>
        <v/>
      </c>
      <c r="I75" s="2" t="inlineStr">
        <is>
          <t>clean</t>
        </is>
      </c>
    </row>
    <row r="76">
      <c r="A76" s="2" t="inlineStr">
        <is>
          <t>2026-08-12</t>
        </is>
      </c>
      <c r="B76" s="2" t="inlineStr">
        <is>
          <t>atp-2026-08-12-jod-nak</t>
        </is>
      </c>
      <c r="C76" s="8" t="n">
        <v>0.3452</v>
      </c>
      <c r="D76" s="8" t="n">
        <v>0.331</v>
      </c>
      <c r="E76" s="9">
        <f>ABS(C76-D76)*100</f>
        <v/>
      </c>
      <c r="F76" s="2" t="n">
        <v>1</v>
      </c>
      <c r="G76" s="10">
        <f>(C76-F76)^2</f>
        <v/>
      </c>
      <c r="H76" s="10">
        <f>(D76-F76)^2</f>
        <v/>
      </c>
      <c r="I76" s="2" t="inlineStr">
        <is>
          <t>clean</t>
        </is>
      </c>
    </row>
    <row r="77">
      <c r="A77" s="2" t="inlineStr">
        <is>
          <t>2026-08-12</t>
        </is>
      </c>
      <c r="B77" s="2" t="inlineStr">
        <is>
          <t>mlb-2026-08-12-sea-nyy</t>
        </is>
      </c>
      <c r="C77" s="8" t="n">
        <v>0.5414</v>
      </c>
      <c r="D77" s="8" t="n">
        <v>0.547</v>
      </c>
      <c r="E77" s="9">
        <f>ABS(C77-D77)*100</f>
        <v/>
      </c>
      <c r="F77" s="2" t="n">
        <v>1</v>
      </c>
      <c r="G77" s="10">
        <f>(C77-F77)^2</f>
        <v/>
      </c>
      <c r="H77" s="10">
        <f>(D77-F77)^2</f>
        <v/>
      </c>
      <c r="I77" s="2" t="inlineStr">
        <is>
          <t>clean</t>
        </is>
      </c>
    </row>
    <row r="78">
      <c r="A78" s="2" t="inlineStr">
        <is>
          <t>2026-08-12</t>
        </is>
      </c>
      <c r="B78" s="2" t="inlineStr">
        <is>
          <t>mlb-2026-08-12-cle-det</t>
        </is>
      </c>
      <c r="C78" s="8" t="n">
        <v>0.5377</v>
      </c>
      <c r="D78" s="8" t="n">
        <v>0.5502</v>
      </c>
      <c r="E78" s="9">
        <f>ABS(C78-D78)*100</f>
        <v/>
      </c>
      <c r="F78" s="2" t="n">
        <v>0</v>
      </c>
      <c r="G78" s="10">
        <f>(C78-F78)^2</f>
        <v/>
      </c>
      <c r="H78" s="10">
        <f>(D78-F78)^2</f>
        <v/>
      </c>
      <c r="I78" s="2" t="inlineStr">
        <is>
          <t>clean</t>
        </is>
      </c>
    </row>
    <row r="79">
      <c r="A79" s="2" t="inlineStr">
        <is>
          <t>2026-08-12</t>
        </is>
      </c>
      <c r="B79" s="2" t="inlineStr">
        <is>
          <t>mlb-2026-08-12-pit-mia</t>
        </is>
      </c>
      <c r="C79" s="8" t="n">
        <v>0.516</v>
      </c>
      <c r="D79" s="8" t="n">
        <v>0.5237000000000001</v>
      </c>
      <c r="E79" s="9">
        <f>ABS(C79-D79)*100</f>
        <v/>
      </c>
      <c r="F79" s="2" t="n">
        <v>1</v>
      </c>
      <c r="G79" s="10">
        <f>(C79-F79)^2</f>
        <v/>
      </c>
      <c r="H79" s="10">
        <f>(D79-F79)^2</f>
        <v/>
      </c>
      <c r="I79" s="2" t="inlineStr">
        <is>
          <t>clean</t>
        </is>
      </c>
    </row>
    <row r="80">
      <c r="A80" s="2" t="inlineStr">
        <is>
          <t>2026-08-12</t>
        </is>
      </c>
      <c r="B80" s="2" t="inlineStr">
        <is>
          <t>mlb-2026-08-12-chc-wsh</t>
        </is>
      </c>
      <c r="C80" s="8" t="n">
        <v>0.4112</v>
      </c>
      <c r="D80" s="8" t="n">
        <v>0.4051</v>
      </c>
      <c r="E80" s="9">
        <f>ABS(C80-D80)*100</f>
        <v/>
      </c>
      <c r="F80" s="2" t="n">
        <v>0</v>
      </c>
      <c r="G80" s="10">
        <f>(C80-F80)^2</f>
        <v/>
      </c>
      <c r="H80" s="10">
        <f>(D80-F80)^2</f>
        <v/>
      </c>
      <c r="I80" s="2" t="inlineStr">
        <is>
          <t>clean</t>
        </is>
      </c>
    </row>
    <row r="81">
      <c r="A81" s="2" t="inlineStr">
        <is>
          <t>2026-08-12</t>
        </is>
      </c>
      <c r="B81" s="2" t="inlineStr">
        <is>
          <t>mlb-2026-08-12-bos-tor</t>
        </is>
      </c>
      <c r="C81" s="8" t="n">
        <v>0.4629</v>
      </c>
      <c r="D81" s="8" t="n">
        <v>0.4604</v>
      </c>
      <c r="E81" s="9">
        <f>ABS(C81-D81)*100</f>
        <v/>
      </c>
      <c r="F81" s="2" t="n">
        <v>1</v>
      </c>
      <c r="G81" s="10">
        <f>(C81-F81)^2</f>
        <v/>
      </c>
      <c r="H81" s="10">
        <f>(D81-F81)^2</f>
        <v/>
      </c>
      <c r="I81" s="2" t="inlineStr">
        <is>
          <t>clean</t>
        </is>
      </c>
    </row>
    <row r="82">
      <c r="A82" s="2" t="inlineStr">
        <is>
          <t>2026-08-12</t>
        </is>
      </c>
      <c r="B82" s="2" t="inlineStr">
        <is>
          <t>mlb-2026-08-12-cin-cws</t>
        </is>
      </c>
      <c r="C82" s="8" t="n">
        <v>0.5725</v>
      </c>
      <c r="D82" s="8" t="n">
        <v>0.574</v>
      </c>
      <c r="E82" s="9">
        <f>ABS(C82-D82)*100</f>
        <v/>
      </c>
      <c r="F82" s="2" t="n">
        <v>1</v>
      </c>
      <c r="G82" s="10">
        <f>(C82-F82)^2</f>
        <v/>
      </c>
      <c r="H82" s="10">
        <f>(D82-F82)^2</f>
        <v/>
      </c>
      <c r="I82" s="2" t="inlineStr">
        <is>
          <t>clean</t>
        </is>
      </c>
    </row>
    <row r="83">
      <c r="A83" s="2" t="inlineStr">
        <is>
          <t>2026-08-12</t>
        </is>
      </c>
      <c r="B83" s="2" t="inlineStr">
        <is>
          <t>mlb-2026-08-12-tex-laa</t>
        </is>
      </c>
      <c r="C83" s="8" t="n">
        <v>0.449</v>
      </c>
      <c r="D83" s="8" t="n">
        <v>0.4442</v>
      </c>
      <c r="E83" s="9">
        <f>ABS(C83-D83)*100</f>
        <v/>
      </c>
      <c r="F83" s="2" t="n">
        <v>1</v>
      </c>
      <c r="G83" s="10">
        <f>(C83-F83)^2</f>
        <v/>
      </c>
      <c r="H83" s="10">
        <f>(D83-F83)^2</f>
        <v/>
      </c>
      <c r="I83" s="2" t="inlineStr">
        <is>
          <t>clean</t>
        </is>
      </c>
    </row>
    <row r="84">
      <c r="A84" s="2" t="inlineStr">
        <is>
          <t>2026-08-12</t>
        </is>
      </c>
      <c r="B84" s="2" t="inlineStr">
        <is>
          <t>mlb-2026-08-12-kc-lad</t>
        </is>
      </c>
      <c r="C84" s="8" t="n">
        <v>0.6801</v>
      </c>
      <c r="D84" s="8" t="n">
        <v>0.6768</v>
      </c>
      <c r="E84" s="9">
        <f>ABS(C84-D84)*100</f>
        <v/>
      </c>
      <c r="F84" s="2" t="n">
        <v>1</v>
      </c>
      <c r="G84" s="10">
        <f>(C84-F84)^2</f>
        <v/>
      </c>
      <c r="H84" s="10">
        <f>(D84-F84)^2</f>
        <v/>
      </c>
      <c r="I84" s="2" t="inlineStr">
        <is>
          <t>clean</t>
        </is>
      </c>
    </row>
    <row r="85">
      <c r="A85" s="2" t="inlineStr">
        <is>
          <t>2026-08-12</t>
        </is>
      </c>
      <c r="B85" s="2" t="inlineStr">
        <is>
          <t>wta-2026-08-12-svi-swi</t>
        </is>
      </c>
      <c r="C85" s="8" t="n">
        <v>0.6928</v>
      </c>
      <c r="D85" s="8" t="n">
        <v>0.6782</v>
      </c>
      <c r="E85" s="9">
        <f>ABS(C85-D85)*100</f>
        <v/>
      </c>
      <c r="F85" s="2" t="n">
        <v>1</v>
      </c>
      <c r="G85" s="10">
        <f>(C85-F85)^2</f>
        <v/>
      </c>
      <c r="H85" s="10">
        <f>(D85-F85)^2</f>
        <v/>
      </c>
      <c r="I85" s="2" t="inlineStr">
        <is>
          <t>clean</t>
        </is>
      </c>
    </row>
    <row r="86">
      <c r="A86" s="2" t="inlineStr">
        <is>
          <t>2026-08-12</t>
        </is>
      </c>
      <c r="B86" s="2" t="inlineStr">
        <is>
          <t>wnba-2026-08-12-tor-dal</t>
        </is>
      </c>
      <c r="C86" s="8" t="n">
        <v>0.7941</v>
      </c>
      <c r="D86" s="8" t="n">
        <v>0.8085</v>
      </c>
      <c r="E86" s="9">
        <f>ABS(C86-D86)*100</f>
        <v/>
      </c>
      <c r="F86" s="2" t="n">
        <v>1</v>
      </c>
      <c r="G86" s="10">
        <f>(C86-F86)^2</f>
        <v/>
      </c>
      <c r="H86" s="10">
        <f>(D86-F86)^2</f>
        <v/>
      </c>
      <c r="I86" s="2" t="inlineStr">
        <is>
          <t>clean</t>
        </is>
      </c>
    </row>
    <row r="87">
      <c r="A87" s="2" t="inlineStr">
        <is>
          <t>2026-08-12</t>
        </is>
      </c>
      <c r="B87" s="2" t="inlineStr">
        <is>
          <t>wnba-2026-08-12-chi-gsv</t>
        </is>
      </c>
      <c r="C87" s="8" t="n">
        <v>0.7954</v>
      </c>
      <c r="D87" s="8" t="n">
        <v>0.7909</v>
      </c>
      <c r="E87" s="9">
        <f>ABS(C87-D87)*100</f>
        <v/>
      </c>
      <c r="F87" s="2" t="n">
        <v>1</v>
      </c>
      <c r="G87" s="10">
        <f>(C87-F87)^2</f>
        <v/>
      </c>
      <c r="H87" s="10">
        <f>(D87-F87)^2</f>
        <v/>
      </c>
      <c r="I87" s="2" t="inlineStr">
        <is>
          <t>clean</t>
        </is>
      </c>
    </row>
    <row r="88">
      <c r="A88" s="2" t="inlineStr">
        <is>
          <t>2026-08-12</t>
        </is>
      </c>
      <c r="B88" s="2" t="inlineStr">
        <is>
          <t>lib-2026-08-12-cer-pal</t>
        </is>
      </c>
      <c r="C88" s="8" t="n">
        <v>0.7599</v>
      </c>
      <c r="D88" s="8" t="n">
        <v>0.7389</v>
      </c>
      <c r="E88" s="9">
        <f>ABS(C88-D88)*100</f>
        <v/>
      </c>
      <c r="F88" s="2" t="n">
        <v>0</v>
      </c>
      <c r="G88" s="10">
        <f>(C88-F88)^2</f>
        <v/>
      </c>
      <c r="H88" s="10">
        <f>(D88-F88)^2</f>
        <v/>
      </c>
      <c r="I88" s="2" t="inlineStr">
        <is>
          <t>flagged</t>
        </is>
      </c>
    </row>
    <row r="89">
      <c r="A89" s="2" t="inlineStr">
        <is>
          <t>2026-08-13</t>
        </is>
      </c>
      <c r="B89" s="2" t="inlineStr">
        <is>
          <t>mlb-2026-08-13-mil-lad</t>
        </is>
      </c>
      <c r="C89" s="8" t="n">
        <v>0.5644</v>
      </c>
      <c r="D89" s="8" t="n">
        <v>0.5779</v>
      </c>
      <c r="E89" s="9">
        <f>ABS(C89-D89)*100</f>
        <v/>
      </c>
      <c r="F89" s="2" t="n">
        <v>0</v>
      </c>
      <c r="G89" s="10">
        <f>(C89-F89)^2</f>
        <v/>
      </c>
      <c r="H89" s="10">
        <f>(D89-F89)^2</f>
        <v/>
      </c>
      <c r="I89" s="2" t="inlineStr">
        <is>
          <t>clean</t>
        </is>
      </c>
    </row>
    <row r="90">
      <c r="A90" s="2" t="inlineStr">
        <is>
          <t>2026-08-13</t>
        </is>
      </c>
      <c r="B90" s="2" t="inlineStr">
        <is>
          <t>mlb-2026-08-13-phi-min</t>
        </is>
      </c>
      <c r="C90" s="8" t="n">
        <v>0.5031</v>
      </c>
      <c r="D90" s="8" t="n">
        <v>0.5053</v>
      </c>
      <c r="E90" s="9">
        <f>ABS(C90-D90)*100</f>
        <v/>
      </c>
      <c r="F90" s="2" t="n">
        <v>0</v>
      </c>
      <c r="G90" s="10">
        <f>(C90-F90)^2</f>
        <v/>
      </c>
      <c r="H90" s="10">
        <f>(D90-F90)^2</f>
        <v/>
      </c>
      <c r="I90" s="2" t="inlineStr">
        <is>
          <t>clean</t>
        </is>
      </c>
    </row>
    <row r="91">
      <c r="A91" s="2" t="inlineStr">
        <is>
          <t>2026-08-13</t>
        </is>
      </c>
      <c r="B91" s="2" t="inlineStr">
        <is>
          <t>mlb-2026-08-13-tex-laa</t>
        </is>
      </c>
      <c r="C91" s="8" t="n">
        <v>0.4026</v>
      </c>
      <c r="D91" s="8" t="n">
        <v>0.4032</v>
      </c>
      <c r="E91" s="9">
        <f>ABS(C91-D91)*100</f>
        <v/>
      </c>
      <c r="F91" s="2" t="n">
        <v>1</v>
      </c>
      <c r="G91" s="10">
        <f>(C91-F91)^2</f>
        <v/>
      </c>
      <c r="H91" s="10">
        <f>(D91-F91)^2</f>
        <v/>
      </c>
      <c r="I91" s="2" t="inlineStr">
        <is>
          <t>clean</t>
        </is>
      </c>
    </row>
    <row r="92">
      <c r="A92" s="2" t="inlineStr">
        <is>
          <t>2026-08-13</t>
        </is>
      </c>
      <c r="B92" s="2" t="inlineStr">
        <is>
          <t>nfl-2026-08-13-ari-lv</t>
        </is>
      </c>
      <c r="C92" s="8" t="n">
        <v>0.5548</v>
      </c>
      <c r="D92" s="8" t="n">
        <v>0.5548</v>
      </c>
      <c r="E92" s="9">
        <f>ABS(C92-D92)*100</f>
        <v/>
      </c>
      <c r="F92" s="2" t="n">
        <v>0</v>
      </c>
      <c r="G92" s="10">
        <f>(C92-F92)^2</f>
        <v/>
      </c>
      <c r="H92" s="10">
        <f>(D92-F92)^2</f>
        <v/>
      </c>
      <c r="I92" s="2" t="inlineStr">
        <is>
          <t>clean</t>
        </is>
      </c>
    </row>
    <row r="93">
      <c r="A93" s="2" t="inlineStr">
        <is>
          <t>2026-08-13</t>
        </is>
      </c>
      <c r="B93" s="2" t="inlineStr">
        <is>
          <t>nfl-2026-08-13-lac-hou</t>
        </is>
      </c>
      <c r="C93" s="8" t="n">
        <v>0.5682</v>
      </c>
      <c r="D93" s="8" t="n">
        <v>0.5682</v>
      </c>
      <c r="E93" s="9">
        <f>ABS(C93-D93)*100</f>
        <v/>
      </c>
      <c r="F93" s="2" t="n">
        <v>0</v>
      </c>
      <c r="G93" s="10">
        <f>(C93-F93)^2</f>
        <v/>
      </c>
      <c r="H93" s="10">
        <f>(D93-F93)^2</f>
        <v/>
      </c>
      <c r="I93" s="2" t="inlineStr">
        <is>
          <t>clean</t>
        </is>
      </c>
    </row>
    <row r="94">
      <c r="A94" s="2" t="inlineStr">
        <is>
          <t>2026-08-13</t>
        </is>
      </c>
      <c r="B94" s="2" t="inlineStr">
        <is>
          <t>nfl-2026-08-13-ten-sf</t>
        </is>
      </c>
      <c r="C94" s="8" t="n">
        <v>0.4241</v>
      </c>
      <c r="D94" s="8" t="n">
        <v>0.4241</v>
      </c>
      <c r="E94" s="9">
        <f>ABS(C94-D94)*100</f>
        <v/>
      </c>
      <c r="F94" s="2" t="n">
        <v>0</v>
      </c>
      <c r="G94" s="10">
        <f>(C94-F94)^2</f>
        <v/>
      </c>
      <c r="H94" s="10">
        <f>(D94-F94)^2</f>
        <v/>
      </c>
      <c r="I94" s="2" t="inlineStr">
        <is>
          <t>clean</t>
        </is>
      </c>
    </row>
    <row r="95">
      <c r="A95" s="2" t="inlineStr">
        <is>
          <t>2026-08-13</t>
        </is>
      </c>
      <c r="B95" s="2" t="inlineStr">
        <is>
          <t>atp-2026-08-13-she-nak</t>
        </is>
      </c>
      <c r="C95" s="8" t="n">
        <v>0.3541</v>
      </c>
      <c r="D95" s="8" t="n">
        <v>0.3272</v>
      </c>
      <c r="E95" s="9">
        <f>ABS(C95-D95)*100</f>
        <v/>
      </c>
      <c r="F95" s="2" t="n">
        <v>0</v>
      </c>
      <c r="G95" s="10">
        <f>(C95-F95)^2</f>
        <v/>
      </c>
      <c r="H95" s="10">
        <f>(D95-F95)^2</f>
        <v/>
      </c>
      <c r="I95" s="2" t="inlineStr">
        <is>
          <t>clean</t>
        </is>
      </c>
    </row>
    <row r="96">
      <c r="A96" s="2" t="inlineStr">
        <is>
          <t>2026-08-13</t>
        </is>
      </c>
      <c r="B96" s="2" t="inlineStr">
        <is>
          <t>lc-2026-08-13-cru-chi</t>
        </is>
      </c>
      <c r="C96" s="8" t="n">
        <v>0.3462</v>
      </c>
      <c r="D96" s="8" t="n">
        <v>0.3462</v>
      </c>
      <c r="E96" s="9">
        <f>ABS(C96-D96)*100</f>
        <v/>
      </c>
      <c r="F96" s="2" t="n">
        <v>1</v>
      </c>
      <c r="G96" s="10">
        <f>(C96-F96)^2</f>
        <v/>
      </c>
      <c r="H96" s="10">
        <f>(D96-F96)^2</f>
        <v/>
      </c>
      <c r="I96" s="2" t="inlineStr">
        <is>
          <t>clean</t>
        </is>
      </c>
    </row>
    <row r="97">
      <c r="A97" s="2" t="inlineStr">
        <is>
          <t>2026-08-13</t>
        </is>
      </c>
      <c r="B97" s="2" t="inlineStr">
        <is>
          <t>lib-2026-08-13-cor-ros</t>
        </is>
      </c>
      <c r="C97" s="8" t="n">
        <v>0.4036</v>
      </c>
      <c r="D97" s="8" t="n">
        <v>0.4206</v>
      </c>
      <c r="E97" s="9">
        <f>ABS(C97-D97)*100</f>
        <v/>
      </c>
      <c r="F97" s="2" t="n">
        <v>0</v>
      </c>
      <c r="G97" s="10">
        <f>(C97-F97)^2</f>
        <v/>
      </c>
      <c r="H97" s="10">
        <f>(D97-F97)^2</f>
        <v/>
      </c>
      <c r="I97" s="2" t="inlineStr">
        <is>
          <t>flagged</t>
        </is>
      </c>
    </row>
    <row r="98">
      <c r="A98" s="2" t="inlineStr">
        <is>
          <t>2026-08-15</t>
        </is>
      </c>
      <c r="B98" s="2" t="inlineStr">
        <is>
          <t>mlb-2026-08-15-stl-chc</t>
        </is>
      </c>
      <c r="C98" s="8" t="n">
        <v>0.6128</v>
      </c>
      <c r="D98" s="8" t="n">
        <v>0.6246</v>
      </c>
      <c r="E98" s="9">
        <f>ABS(C98-D98)*100</f>
        <v/>
      </c>
      <c r="F98" s="2" t="n">
        <v>0</v>
      </c>
      <c r="G98" s="10">
        <f>(C98-F98)^2</f>
        <v/>
      </c>
      <c r="H98" s="10">
        <f>(D98-F98)^2</f>
        <v/>
      </c>
      <c r="I98" s="2" t="inlineStr">
        <is>
          <t>clean</t>
        </is>
      </c>
    </row>
    <row r="99">
      <c r="A99" s="2" t="inlineStr">
        <is>
          <t>2026-08-15</t>
        </is>
      </c>
      <c r="B99" s="2" t="inlineStr">
        <is>
          <t>mlb-2026-08-15-kc-laa</t>
        </is>
      </c>
      <c r="C99" s="8" t="n">
        <v>0.5842000000000001</v>
      </c>
      <c r="D99" s="8" t="n">
        <v>0.592</v>
      </c>
      <c r="E99" s="9">
        <f>ABS(C99-D99)*100</f>
        <v/>
      </c>
      <c r="F99" s="2" t="n">
        <v>1</v>
      </c>
      <c r="G99" s="10">
        <f>(C99-F99)^2</f>
        <v/>
      </c>
      <c r="H99" s="10">
        <f>(D99-F99)^2</f>
        <v/>
      </c>
      <c r="I99" s="2" t="inlineStr">
        <is>
          <t>clean</t>
        </is>
      </c>
    </row>
    <row r="100">
      <c r="A100" s="2" t="inlineStr">
        <is>
          <t>2026-08-15</t>
        </is>
      </c>
      <c r="B100" s="2" t="inlineStr">
        <is>
          <t>mlb-2026-08-15-sd-cle</t>
        </is>
      </c>
      <c r="C100" s="8" t="n">
        <v>0.548</v>
      </c>
      <c r="D100" s="8" t="n">
        <v>0.5325</v>
      </c>
      <c r="E100" s="9">
        <f>ABS(C100-D100)*100</f>
        <v/>
      </c>
      <c r="F100" s="2" t="n">
        <v>1</v>
      </c>
      <c r="G100" s="10">
        <f>(C100-F100)^2</f>
        <v/>
      </c>
      <c r="H100" s="10">
        <f>(D100-F100)^2</f>
        <v/>
      </c>
      <c r="I100" s="2" t="inlineStr">
        <is>
          <t>clean</t>
        </is>
      </c>
    </row>
    <row r="101">
      <c r="A101" s="2" t="inlineStr">
        <is>
          <t>2026-08-15</t>
        </is>
      </c>
      <c r="B101" s="2" t="inlineStr">
        <is>
          <t>mlb-2026-08-15-col-sf</t>
        </is>
      </c>
      <c r="C101" s="8" t="n">
        <v>0.624</v>
      </c>
      <c r="D101" s="8" t="n">
        <v>0.6294</v>
      </c>
      <c r="E101" s="9">
        <f>ABS(C101-D101)*100</f>
        <v/>
      </c>
      <c r="F101" s="2" t="n">
        <v>1</v>
      </c>
      <c r="G101" s="10">
        <f>(C101-F101)^2</f>
        <v/>
      </c>
      <c r="H101" s="10">
        <f>(D101-F101)^2</f>
        <v/>
      </c>
      <c r="I101" s="2" t="inlineStr">
        <is>
          <t>clean</t>
        </is>
      </c>
    </row>
    <row r="102">
      <c r="A102" s="2" t="inlineStr">
        <is>
          <t>2026-08-15</t>
        </is>
      </c>
      <c r="B102" s="2" t="inlineStr">
        <is>
          <t>mlb-2026-08-15-wsh-nym</t>
        </is>
      </c>
      <c r="C102" s="8" t="n">
        <v>0.5614</v>
      </c>
      <c r="D102" s="8" t="n">
        <v>0.5666</v>
      </c>
      <c r="E102" s="9">
        <f>ABS(C102-D102)*100</f>
        <v/>
      </c>
      <c r="F102" s="2" t="n">
        <v>1</v>
      </c>
      <c r="G102" s="10">
        <f>(C102-F102)^2</f>
        <v/>
      </c>
      <c r="H102" s="10">
        <f>(D102-F102)^2</f>
        <v/>
      </c>
      <c r="I102" s="2" t="inlineStr">
        <is>
          <t>clean</t>
        </is>
      </c>
    </row>
    <row r="103">
      <c r="A103" s="2" t="inlineStr">
        <is>
          <t>2026-08-15</t>
        </is>
      </c>
      <c r="B103" s="2" t="inlineStr">
        <is>
          <t>mlb-2026-08-15-bal-tb</t>
        </is>
      </c>
      <c r="C103" s="8" t="n">
        <v>0.5694</v>
      </c>
      <c r="D103" s="8" t="n">
        <v>0.5749</v>
      </c>
      <c r="E103" s="9">
        <f>ABS(C103-D103)*100</f>
        <v/>
      </c>
      <c r="F103" s="2" t="n">
        <v>0</v>
      </c>
      <c r="G103" s="10">
        <f>(C103-F103)^2</f>
        <v/>
      </c>
      <c r="H103" s="10">
        <f>(D103-F103)^2</f>
        <v/>
      </c>
      <c r="I103" s="2" t="inlineStr">
        <is>
          <t>clean</t>
        </is>
      </c>
    </row>
    <row r="104">
      <c r="A104" s="2" t="inlineStr">
        <is>
          <t>2026-08-15</t>
        </is>
      </c>
      <c r="B104" s="2" t="inlineStr">
        <is>
          <t>mlb-2026-08-15-mia-cin</t>
        </is>
      </c>
      <c r="C104" s="8" t="n">
        <v>0.4228</v>
      </c>
      <c r="D104" s="8" t="n">
        <v>0.5068</v>
      </c>
      <c r="E104" s="9">
        <f>ABS(C104-D104)*100</f>
        <v/>
      </c>
      <c r="F104" s="2" t="n">
        <v>0</v>
      </c>
      <c r="G104" s="10">
        <f>(C104-F104)^2</f>
        <v/>
      </c>
      <c r="H104" s="10">
        <f>(D104-F104)^2</f>
        <v/>
      </c>
      <c r="I104" s="2" t="inlineStr">
        <is>
          <t>clean</t>
        </is>
      </c>
    </row>
    <row r="105">
      <c r="A105" s="2" t="inlineStr">
        <is>
          <t>2026-08-15</t>
        </is>
      </c>
      <c r="B105" s="2" t="inlineStr">
        <is>
          <t>mlb-2026-08-15-phi-min</t>
        </is>
      </c>
      <c r="C105" s="8" t="n">
        <v>0.4316</v>
      </c>
      <c r="D105" s="8" t="n">
        <v>0.4241</v>
      </c>
      <c r="E105" s="9">
        <f>ABS(C105-D105)*100</f>
        <v/>
      </c>
      <c r="F105" s="2" t="n">
        <v>0</v>
      </c>
      <c r="G105" s="10">
        <f>(C105-F105)^2</f>
        <v/>
      </c>
      <c r="H105" s="10">
        <f>(D105-F105)^2</f>
        <v/>
      </c>
      <c r="I105" s="2" t="inlineStr">
        <is>
          <t>clean</t>
        </is>
      </c>
    </row>
    <row r="106">
      <c r="A106" s="2" t="inlineStr">
        <is>
          <t>2026-08-15</t>
        </is>
      </c>
      <c r="B106" s="2" t="inlineStr">
        <is>
          <t>mlb-2026-08-15-bos-pit</t>
        </is>
      </c>
      <c r="C106" s="8" t="n">
        <v>0.4631</v>
      </c>
      <c r="D106" s="8" t="n">
        <v>0.4659</v>
      </c>
      <c r="E106" s="9">
        <f>ABS(C106-D106)*100</f>
        <v/>
      </c>
      <c r="F106" s="2" t="n">
        <v>0</v>
      </c>
      <c r="G106" s="10">
        <f>(C106-F106)^2</f>
        <v/>
      </c>
      <c r="H106" s="10">
        <f>(D106-F106)^2</f>
        <v/>
      </c>
      <c r="I106" s="2" t="inlineStr">
        <is>
          <t>clean</t>
        </is>
      </c>
    </row>
    <row r="107">
      <c r="A107" s="2" t="inlineStr">
        <is>
          <t>2026-08-15</t>
        </is>
      </c>
      <c r="B107" s="2" t="inlineStr">
        <is>
          <t>mlb-2026-08-15-ari-atl</t>
        </is>
      </c>
      <c r="C107" s="8" t="n">
        <v>0.5907</v>
      </c>
      <c r="D107" s="8" t="n">
        <v>0.5453</v>
      </c>
      <c r="E107" s="9">
        <f>ABS(C107-D107)*100</f>
        <v/>
      </c>
      <c r="F107" s="2" t="n">
        <v>0</v>
      </c>
      <c r="G107" s="10">
        <f>(C107-F107)^2</f>
        <v/>
      </c>
      <c r="H107" s="10">
        <f>(D107-F107)^2</f>
        <v/>
      </c>
      <c r="I107" s="2" t="inlineStr">
        <is>
          <t>clean</t>
        </is>
      </c>
    </row>
    <row r="108">
      <c r="A108" s="2" t="inlineStr">
        <is>
          <t>2026-08-15</t>
        </is>
      </c>
      <c r="B108" s="2" t="inlineStr">
        <is>
          <t>mlb-2026-08-15-tex-ath</t>
        </is>
      </c>
      <c r="C108" s="8" t="n">
        <v>0.4251</v>
      </c>
      <c r="D108" s="8" t="n">
        <v>0.4084</v>
      </c>
      <c r="E108" s="9">
        <f>ABS(C108-D108)*100</f>
        <v/>
      </c>
      <c r="F108" s="2" t="n">
        <v>0</v>
      </c>
      <c r="G108" s="10">
        <f>(C108-F108)^2</f>
        <v/>
      </c>
      <c r="H108" s="10">
        <f>(D108-F108)^2</f>
        <v/>
      </c>
      <c r="I108" s="2" t="inlineStr">
        <is>
          <t>clean</t>
        </is>
      </c>
    </row>
    <row r="109">
      <c r="A109" s="2" t="inlineStr">
        <is>
          <t>2026-08-15</t>
        </is>
      </c>
      <c r="B109" s="2" t="inlineStr">
        <is>
          <t>nfl-2026-08-15-lar-kc</t>
        </is>
      </c>
      <c r="C109" s="8" t="n">
        <v>0.5548</v>
      </c>
      <c r="D109" s="8" t="n">
        <v>0.5569</v>
      </c>
      <c r="E109" s="9">
        <f>ABS(C109-D109)*100</f>
        <v/>
      </c>
      <c r="F109" s="2" t="n">
        <v>0</v>
      </c>
      <c r="G109" s="10">
        <f>(C109-F109)^2</f>
        <v/>
      </c>
      <c r="H109" s="10">
        <f>(D109-F109)^2</f>
        <v/>
      </c>
      <c r="I109" s="2" t="inlineStr">
        <is>
          <t>clean</t>
        </is>
      </c>
    </row>
    <row r="110">
      <c r="A110" s="2" t="inlineStr">
        <is>
          <t>2026-08-15</t>
        </is>
      </c>
      <c r="B110" s="2" t="inlineStr">
        <is>
          <t>nfl-2026-08-15-jax-no</t>
        </is>
      </c>
      <c r="C110" s="8" t="n">
        <v>0.5682</v>
      </c>
      <c r="D110" s="8" t="n">
        <v>0.5453</v>
      </c>
      <c r="E110" s="9">
        <f>ABS(C110-D110)*100</f>
        <v/>
      </c>
      <c r="F110" s="2" t="n">
        <v>0</v>
      </c>
      <c r="G110" s="10">
        <f>(C110-F110)^2</f>
        <v/>
      </c>
      <c r="H110" s="10">
        <f>(D110-F110)^2</f>
        <v/>
      </c>
      <c r="I110" s="2" t="inlineStr">
        <is>
          <t>clean</t>
        </is>
      </c>
    </row>
    <row r="111">
      <c r="A111" s="2" t="inlineStr">
        <is>
          <t>2026-08-15</t>
        </is>
      </c>
      <c r="B111" s="2" t="inlineStr">
        <is>
          <t>nfl-2026-08-15-dal-sea</t>
        </is>
      </c>
      <c r="C111" s="8" t="n">
        <v>0.5873</v>
      </c>
      <c r="D111" s="8" t="n">
        <v>0.5759</v>
      </c>
      <c r="E111" s="9">
        <f>ABS(C111-D111)*100</f>
        <v/>
      </c>
      <c r="F111" s="2" t="n">
        <v>0</v>
      </c>
      <c r="G111" s="10">
        <f>(C111-F111)^2</f>
        <v/>
      </c>
      <c r="H111" s="10">
        <f>(D111-F111)^2</f>
        <v/>
      </c>
      <c r="I111" s="2" t="inlineStr">
        <is>
          <t>clean</t>
        </is>
      </c>
    </row>
    <row r="112">
      <c r="A112" s="2" t="inlineStr">
        <is>
          <t>2026-08-15</t>
        </is>
      </c>
      <c r="B112" s="2" t="inlineStr">
        <is>
          <t>cfl-2026-08-15-tor-edm</t>
        </is>
      </c>
      <c r="C112" s="8" t="n">
        <v>0.6382</v>
      </c>
      <c r="D112" s="8" t="n">
        <v>0.6395</v>
      </c>
      <c r="E112" s="9">
        <f>ABS(C112-D112)*100</f>
        <v/>
      </c>
      <c r="F112" s="2" t="n">
        <v>1</v>
      </c>
      <c r="G112" s="10">
        <f>(C112-F112)^2</f>
        <v/>
      </c>
      <c r="H112" s="10">
        <f>(D112-F112)^2</f>
        <v/>
      </c>
      <c r="I112" s="2" t="inlineStr">
        <is>
          <t>clean</t>
        </is>
      </c>
    </row>
    <row r="113">
      <c r="A113" s="2" t="inlineStr">
        <is>
          <t>2026-08-15</t>
        </is>
      </c>
      <c r="B113" s="2" t="inlineStr">
        <is>
          <t>ufc-2026-08-15-mak-gar</t>
        </is>
      </c>
      <c r="C113" s="8" t="n">
        <v>0.2296</v>
      </c>
      <c r="D113" s="8" t="n">
        <v>0.2337</v>
      </c>
      <c r="E113" s="9">
        <f>ABS(C113-D113)*100</f>
        <v/>
      </c>
      <c r="F113" s="2" t="n">
        <v>0</v>
      </c>
      <c r="G113" s="10">
        <f>(C113-F113)^2</f>
        <v/>
      </c>
      <c r="H113" s="10">
        <f>(D113-F113)^2</f>
        <v/>
      </c>
      <c r="I113" s="2" t="inlineStr">
        <is>
          <t>clean</t>
        </is>
      </c>
    </row>
    <row r="114">
      <c r="A114" s="2" t="inlineStr">
        <is>
          <t>2026-08-15</t>
        </is>
      </c>
      <c r="B114" s="2" t="inlineStr">
        <is>
          <t>ufc-2026-08-15-der-rob</t>
        </is>
      </c>
      <c r="C114" s="8" t="n">
        <v>0.3269</v>
      </c>
      <c r="D114" s="8" t="n">
        <v>0.3554</v>
      </c>
      <c r="E114" s="9">
        <f>ABS(C114-D114)*100</f>
        <v/>
      </c>
      <c r="F114" s="2" t="n">
        <v>0</v>
      </c>
      <c r="G114" s="10">
        <f>(C114-F114)^2</f>
        <v/>
      </c>
      <c r="H114" s="10">
        <f>(D114-F114)^2</f>
        <v/>
      </c>
      <c r="I114" s="2" t="inlineStr">
        <is>
          <t>clean</t>
        </is>
      </c>
    </row>
    <row r="115">
      <c r="A115" s="2" t="inlineStr">
        <is>
          <t>2026-08-15</t>
        </is>
      </c>
      <c r="B115" s="2" t="inlineStr">
        <is>
          <t>atp-2026-08-15-zve-nor</t>
        </is>
      </c>
      <c r="C115" s="8" t="n">
        <v>0.2199</v>
      </c>
      <c r="D115" s="8" t="n">
        <v>0.2113</v>
      </c>
      <c r="E115" s="9">
        <f>ABS(C115-D115)*100</f>
        <v/>
      </c>
      <c r="F115" s="2" t="n">
        <v>0</v>
      </c>
      <c r="G115" s="10">
        <f>(C115-F115)^2</f>
        <v/>
      </c>
      <c r="H115" s="10">
        <f>(D115-F115)^2</f>
        <v/>
      </c>
      <c r="I115" s="2" t="inlineStr">
        <is>
          <t>clean</t>
        </is>
      </c>
    </row>
    <row r="116">
      <c r="A116" s="2" t="inlineStr">
        <is>
          <t>2026-08-15</t>
        </is>
      </c>
      <c r="B116" s="2" t="inlineStr">
        <is>
          <t>liga-2026-08-15-ray-sev</t>
        </is>
      </c>
      <c r="C116" s="8" t="n">
        <v>0.4175</v>
      </c>
      <c r="D116" s="8" t="n">
        <v>0.4114</v>
      </c>
      <c r="E116" s="9">
        <f>ABS(C116-D116)*100</f>
        <v/>
      </c>
      <c r="F116" s="2" t="n">
        <v>1</v>
      </c>
      <c r="G116" s="10">
        <f>(C116-F116)^2</f>
        <v/>
      </c>
      <c r="H116" s="10">
        <f>(D116-F116)^2</f>
        <v/>
      </c>
      <c r="I116" s="2" t="inlineStr">
        <is>
          <t>clean</t>
        </is>
      </c>
    </row>
    <row r="117">
      <c r="A117" s="2" t="inlineStr">
        <is>
          <t>2026-08-15</t>
        </is>
      </c>
      <c r="B117" s="2" t="inlineStr">
        <is>
          <t>arg-2026-08-15-gim-est</t>
        </is>
      </c>
      <c r="C117" s="8" t="n">
        <v>0.4129</v>
      </c>
      <c r="D117" s="8" t="n">
        <v>0.4878</v>
      </c>
      <c r="E117" s="9">
        <f>ABS(C117-D117)*100</f>
        <v/>
      </c>
      <c r="F117" s="2" t="n">
        <v>1</v>
      </c>
      <c r="G117" s="10">
        <f>(C117-F117)^2</f>
        <v/>
      </c>
      <c r="H117" s="10">
        <f>(D117-F117)^2</f>
        <v/>
      </c>
      <c r="I117" s="2" t="inlineStr">
        <is>
          <t>flagged</t>
        </is>
      </c>
    </row>
    <row r="118">
      <c r="A118" s="2" t="inlineStr">
        <is>
          <t>2026-08-15</t>
        </is>
      </c>
      <c r="B118" s="2" t="inlineStr">
        <is>
          <t>br-2026-08-15-rbb-cap</t>
        </is>
      </c>
      <c r="C118" s="8" t="n">
        <v>0.4771</v>
      </c>
      <c r="D118" s="8" t="n">
        <v>0.5033</v>
      </c>
      <c r="E118" s="9">
        <f>ABS(C118-D118)*100</f>
        <v/>
      </c>
      <c r="F118" s="2" t="n">
        <v>0</v>
      </c>
      <c r="G118" s="10">
        <f>(C118-F118)^2</f>
        <v/>
      </c>
      <c r="H118" s="10">
        <f>(D118-F118)^2</f>
        <v/>
      </c>
      <c r="I118" s="2" t="inlineStr">
        <is>
          <t>clean</t>
        </is>
      </c>
    </row>
    <row r="119">
      <c r="A119" s="2" t="inlineStr">
        <is>
          <t>2026-08-15</t>
        </is>
      </c>
      <c r="B119" s="2" t="inlineStr">
        <is>
          <t>br-2026-08-15-cor-sao</t>
        </is>
      </c>
      <c r="C119" s="8" t="n">
        <v>0.5624</v>
      </c>
      <c r="D119" s="8" t="n">
        <v>0.5713</v>
      </c>
      <c r="E119" s="9">
        <f>ABS(C119-D119)*100</f>
        <v/>
      </c>
      <c r="F119" s="2" t="n">
        <v>0</v>
      </c>
      <c r="G119" s="10">
        <f>(C119-F119)^2</f>
        <v/>
      </c>
      <c r="H119" s="10">
        <f>(D119-F119)^2</f>
        <v/>
      </c>
      <c r="I119" s="2" t="inlineStr">
        <is>
          <t>flagged</t>
        </is>
      </c>
    </row>
    <row r="120">
      <c r="A120" s="2" t="inlineStr">
        <is>
          <t>2026-08-15</t>
        </is>
      </c>
      <c r="B120" s="2" t="inlineStr">
        <is>
          <t>arg-2026-08-15-boc-pla</t>
        </is>
      </c>
      <c r="C120" s="8" t="n">
        <v>0.265</v>
      </c>
      <c r="D120" s="8" t="n">
        <v>0.2445</v>
      </c>
      <c r="E120" s="9">
        <f>ABS(C120-D120)*100</f>
        <v/>
      </c>
      <c r="F120" s="2" t="n">
        <v>0</v>
      </c>
      <c r="G120" s="10">
        <f>(C120-F120)^2</f>
        <v/>
      </c>
      <c r="H120" s="10">
        <f>(D120-F120)^2</f>
        <v/>
      </c>
      <c r="I120" s="2" t="inlineStr">
        <is>
          <t>clean</t>
        </is>
      </c>
    </row>
    <row r="121">
      <c r="A121" s="2" t="inlineStr">
        <is>
          <t>2026-08-18</t>
        </is>
      </c>
      <c r="B121" s="2" t="inlineStr">
        <is>
          <t>mlb-2026-08-18-sea-mil</t>
        </is>
      </c>
      <c r="C121" s="8" t="n">
        <v>0.5821</v>
      </c>
      <c r="D121" s="8" t="n">
        <v>0.6191</v>
      </c>
      <c r="E121" s="9">
        <f>ABS(C121-D121)*100</f>
        <v/>
      </c>
      <c r="F121" s="2" t="n">
        <v>1</v>
      </c>
      <c r="G121" s="10">
        <f>(C121-F121)^2</f>
        <v/>
      </c>
      <c r="H121" s="10">
        <f>(D121-F121)^2</f>
        <v/>
      </c>
      <c r="I121" s="2" t="inlineStr">
        <is>
          <t>clean</t>
        </is>
      </c>
    </row>
    <row r="122">
      <c r="A122" s="2" t="inlineStr">
        <is>
          <t>2026-08-20</t>
        </is>
      </c>
      <c r="B122" s="2" t="inlineStr">
        <is>
          <t>lib-2026-08-20-mir-ldu</t>
        </is>
      </c>
      <c r="C122" s="8" t="n">
        <v>0.6092</v>
      </c>
      <c r="D122" s="8" t="n">
        <v>0.5812</v>
      </c>
      <c r="E122" s="9">
        <f>ABS(C122-D122)*100</f>
        <v/>
      </c>
      <c r="F122" s="2" t="n">
        <v>0</v>
      </c>
      <c r="G122" s="10">
        <f>(C122-F122)^2</f>
        <v/>
      </c>
      <c r="H122" s="10">
        <f>(D122-F122)^2</f>
        <v/>
      </c>
      <c r="I122" s="2" t="inlineStr">
        <is>
          <t>flagged</t>
        </is>
      </c>
    </row>
    <row r="123">
      <c r="A123" s="2" t="inlineStr">
        <is>
          <t>2026-08-20</t>
        </is>
      </c>
      <c r="B123" s="2" t="inlineStr">
        <is>
          <t>lib-2026-08-20-ros-cor</t>
        </is>
      </c>
      <c r="C123" s="8" t="n">
        <v>0.4898</v>
      </c>
      <c r="D123" s="8" t="n">
        <v>0.4777</v>
      </c>
      <c r="E123" s="9">
        <f>ABS(C123-D123)*100</f>
        <v/>
      </c>
      <c r="F123" s="2" t="n">
        <v>1</v>
      </c>
      <c r="G123" s="10">
        <f>(C123-F123)^2</f>
        <v/>
      </c>
      <c r="H123" s="10">
        <f>(D123-F123)^2</f>
        <v/>
      </c>
      <c r="I123" s="2" t="inlineStr">
        <is>
          <t>clean</t>
        </is>
      </c>
    </row>
    <row r="124">
      <c r="A124" s="2" t="inlineStr">
        <is>
          <t>2026-08-20</t>
        </is>
      </c>
      <c r="B124" s="2" t="inlineStr">
        <is>
          <t>wnba-2026-08-20-atl-las</t>
        </is>
      </c>
      <c r="C124" s="8" t="n">
        <v>0.235</v>
      </c>
      <c r="D124" s="8" t="n">
        <v>0.211</v>
      </c>
      <c r="E124" s="9">
        <f>ABS(C124-D124)*100</f>
        <v/>
      </c>
      <c r="F124" s="2" t="n">
        <v>0</v>
      </c>
      <c r="G124" s="10">
        <f>(C124-F124)^2</f>
        <v/>
      </c>
      <c r="H124" s="10">
        <f>(D124-F124)^2</f>
        <v/>
      </c>
      <c r="I124" s="2" t="inlineStr">
        <is>
          <t>clean</t>
        </is>
      </c>
    </row>
    <row r="125">
      <c r="A125" s="2" t="inlineStr">
        <is>
          <t>2026-08-20</t>
        </is>
      </c>
      <c r="B125" s="2" t="inlineStr">
        <is>
          <t>nfl-2026-08-20-sf-lac</t>
        </is>
      </c>
      <c r="C125" s="8" t="n">
        <v>0.4546</v>
      </c>
      <c r="D125" s="8" t="n">
        <v>0.4654</v>
      </c>
      <c r="E125" s="9">
        <f>ABS(C125-D125)*100</f>
        <v/>
      </c>
      <c r="F125" s="2" t="n">
        <v>0</v>
      </c>
      <c r="G125" s="10">
        <f>(C125-F125)^2</f>
        <v/>
      </c>
      <c r="H125" s="10">
        <f>(D125-F125)^2</f>
        <v/>
      </c>
      <c r="I125" s="2" t="inlineStr">
        <is>
          <t>clean</t>
        </is>
      </c>
    </row>
    <row r="126">
      <c r="A126" s="2" t="inlineStr">
        <is>
          <t>2026-08-21</t>
        </is>
      </c>
      <c r="B126" s="2" t="inlineStr">
        <is>
          <t>epl-2026-08-21-cov-ars</t>
        </is>
      </c>
      <c r="C126" s="8" t="n">
        <v>0.8377</v>
      </c>
      <c r="D126" s="8" t="n">
        <v>0.8319</v>
      </c>
      <c r="E126" s="9">
        <f>ABS(C126-D126)*100</f>
        <v/>
      </c>
      <c r="F126" s="2" t="n">
        <v>1</v>
      </c>
      <c r="G126" s="10">
        <f>(C126-F126)^2</f>
        <v/>
      </c>
      <c r="H126" s="10">
        <f>(D126-F126)^2</f>
        <v/>
      </c>
      <c r="I126" s="2" t="inlineStr">
        <is>
          <t>clean</t>
        </is>
      </c>
    </row>
    <row r="127">
      <c r="A127" s="2" t="inlineStr">
        <is>
          <t>2026-08-21</t>
        </is>
      </c>
      <c r="B127" s="2" t="inlineStr">
        <is>
          <t>ligamx-2026-08-21-mty-leo</t>
        </is>
      </c>
      <c r="C127" s="8" t="n">
        <v>0.3091</v>
      </c>
      <c r="D127" s="8" t="n">
        <v>0.2868</v>
      </c>
      <c r="E127" s="9">
        <f>ABS(C127-D127)*100</f>
        <v/>
      </c>
      <c r="F127" s="2" t="n">
        <v>1</v>
      </c>
      <c r="G127" s="10">
        <f>(C127-F127)^2</f>
        <v/>
      </c>
      <c r="H127" s="10">
        <f>(D127-F127)^2</f>
        <v/>
      </c>
      <c r="I127" s="2" t="inlineStr">
        <is>
          <t>flagged</t>
        </is>
      </c>
    </row>
    <row r="128">
      <c r="A128" s="2" t="inlineStr">
        <is>
          <t>2026-08-21</t>
        </is>
      </c>
      <c r="B128" s="2" t="inlineStr">
        <is>
          <t>nfl-2026-08-21-nyj-pit</t>
        </is>
      </c>
      <c r="C128" s="8" t="n">
        <v>0.4318</v>
      </c>
      <c r="D128" s="8" t="n">
        <v>0.4722</v>
      </c>
      <c r="E128" s="9">
        <f>ABS(C128-D128)*100</f>
        <v/>
      </c>
      <c r="F128" s="2" t="n">
        <v>0</v>
      </c>
      <c r="G128" s="10">
        <f>(C128-F128)^2</f>
        <v/>
      </c>
      <c r="H128" s="10">
        <f>(D128-F128)^2</f>
        <v/>
      </c>
      <c r="I128" s="2" t="inlineStr">
        <is>
          <t>clean</t>
        </is>
      </c>
    </row>
    <row r="129">
      <c r="A129" s="2" t="inlineStr">
        <is>
          <t>2026-08-21</t>
        </is>
      </c>
      <c r="B129" s="2" t="inlineStr">
        <is>
          <t>nfl-2026-08-21-car-jax</t>
        </is>
      </c>
      <c r="C129" s="8" t="n">
        <v>0.5233</v>
      </c>
      <c r="D129" s="8" t="n">
        <v>0.4654</v>
      </c>
      <c r="E129" s="9">
        <f>ABS(C129-D129)*100</f>
        <v/>
      </c>
      <c r="F129" s="2" t="n">
        <v>0</v>
      </c>
      <c r="G129" s="10">
        <f>(C129-F129)^2</f>
        <v/>
      </c>
      <c r="H129" s="10">
        <f>(D129-F129)^2</f>
        <v/>
      </c>
      <c r="I129" s="2" t="inlineStr">
        <is>
          <t>clean</t>
        </is>
      </c>
    </row>
    <row r="130">
      <c r="A130" s="2" t="inlineStr">
        <is>
          <t>2026-08-22</t>
        </is>
      </c>
      <c r="B130" s="2" t="inlineStr">
        <is>
          <t>ligamx-2026-08-22-atl-cru</t>
        </is>
      </c>
      <c r="C130" s="8" t="n">
        <v>0.6534</v>
      </c>
      <c r="D130" s="8" t="n">
        <v>0.6284999999999999</v>
      </c>
      <c r="E130" s="9">
        <f>ABS(C130-D130)*100</f>
        <v/>
      </c>
      <c r="F130" s="2" t="n">
        <v>0</v>
      </c>
      <c r="G130" s="10">
        <f>(C130-F130)^2</f>
        <v/>
      </c>
      <c r="H130" s="10">
        <f>(D130-F130)^2</f>
        <v/>
      </c>
      <c r="I130" s="2" t="inlineStr">
        <is>
          <t>flagged</t>
        </is>
      </c>
    </row>
    <row r="131">
      <c r="A131" s="2" t="inlineStr">
        <is>
          <t>2026-08-22</t>
        </is>
      </c>
      <c r="B131" s="2" t="inlineStr">
        <is>
          <t>ufc-2026-08-22-her-rod</t>
        </is>
      </c>
      <c r="C131" s="8" t="n">
        <v>0.3937</v>
      </c>
      <c r="D131" s="8" t="n">
        <v>0.3541</v>
      </c>
      <c r="E131" s="9">
        <f>ABS(C131-D131)*100</f>
        <v/>
      </c>
      <c r="F131" s="2" t="n">
        <v>1</v>
      </c>
      <c r="G131" s="10">
        <f>(C131-F131)^2</f>
        <v/>
      </c>
      <c r="H131" s="10">
        <f>(D131-F131)^2</f>
        <v/>
      </c>
      <c r="I131" s="2" t="inlineStr">
        <is>
          <t>clean</t>
        </is>
      </c>
    </row>
    <row r="132">
      <c r="A132" s="2" t="inlineStr">
        <is>
          <t>2026-08-22</t>
        </is>
      </c>
      <c r="B132" s="2" t="inlineStr">
        <is>
          <t>cfl-2026-08-22-ham-tor</t>
        </is>
      </c>
      <c r="C132" s="8" t="n">
        <v>0.6673</v>
      </c>
      <c r="D132" s="8" t="n">
        <v>0.6745</v>
      </c>
      <c r="E132" s="9">
        <f>ABS(C132-D132)*100</f>
        <v/>
      </c>
      <c r="F132" s="2" t="n">
        <v>1</v>
      </c>
      <c r="G132" s="10">
        <f>(C132-F132)^2</f>
        <v/>
      </c>
      <c r="H132" s="10">
        <f>(D132-F132)^2</f>
        <v/>
      </c>
      <c r="I132" s="2" t="inlineStr">
        <is>
          <t>clean</t>
        </is>
      </c>
    </row>
    <row r="133">
      <c r="A133" s="2" t="inlineStr">
        <is>
          <t>2026-08-22</t>
        </is>
      </c>
      <c r="B133" s="2" t="inlineStr">
        <is>
          <t>ufc-2026-08-22-spi-pet</t>
        </is>
      </c>
      <c r="C133" s="8" t="n">
        <v>0.6036</v>
      </c>
      <c r="D133" s="8" t="n">
        <v>0.5884</v>
      </c>
      <c r="E133" s="9">
        <f>ABS(C133-D133)*100</f>
        <v/>
      </c>
      <c r="F133" s="2" t="n">
        <v>1</v>
      </c>
      <c r="G133" s="10">
        <f>(C133-F133)^2</f>
        <v/>
      </c>
      <c r="H133" s="10">
        <f>(D133-F133)^2</f>
        <v/>
      </c>
      <c r="I133" s="2" t="inlineStr">
        <is>
          <t>clean</t>
        </is>
      </c>
    </row>
    <row r="134">
      <c r="A134" s="2" t="inlineStr">
        <is>
          <t>2026-08-22</t>
        </is>
      </c>
      <c r="B134" s="2" t="inlineStr">
        <is>
          <t>ufc-2026-08-22-rdr-dol</t>
        </is>
      </c>
      <c r="C134" s="8" t="n">
        <v>0.2416</v>
      </c>
      <c r="D134" s="8" t="n">
        <v>0.2232</v>
      </c>
      <c r="E134" s="9">
        <f>ABS(C134-D134)*100</f>
        <v/>
      </c>
      <c r="F134" s="2" t="n">
        <v>0</v>
      </c>
      <c r="G134" s="10">
        <f>(C134-F134)^2</f>
        <v/>
      </c>
      <c r="H134" s="10">
        <f>(D134-F134)^2</f>
        <v/>
      </c>
      <c r="I134" s="2" t="inlineStr">
        <is>
          <t>clean</t>
        </is>
      </c>
    </row>
    <row r="135">
      <c r="A135" s="2" t="inlineStr">
        <is>
          <t>2026-08-22</t>
        </is>
      </c>
      <c r="B135" s="2" t="inlineStr">
        <is>
          <t>ufc-2026-08-22-med-jon</t>
        </is>
      </c>
      <c r="C135" s="8" t="n">
        <v>0.7479</v>
      </c>
      <c r="D135" s="8" t="n">
        <v>0.7598</v>
      </c>
      <c r="E135" s="9">
        <f>ABS(C135-D135)*100</f>
        <v/>
      </c>
      <c r="F135" s="2" t="n">
        <v>0</v>
      </c>
      <c r="G135" s="10">
        <f>(C135-F135)^2</f>
        <v/>
      </c>
      <c r="H135" s="10">
        <f>(D135-F135)^2</f>
        <v/>
      </c>
      <c r="I135" s="2" t="inlineStr">
        <is>
          <t>clean</t>
        </is>
      </c>
    </row>
    <row r="136">
      <c r="A136" s="2" t="inlineStr">
        <is>
          <t>2026-08-22</t>
        </is>
      </c>
      <c r="B136" s="2" t="inlineStr">
        <is>
          <t>ufc-2026-08-22-jud-cha</t>
        </is>
      </c>
      <c r="C136" s="8" t="n">
        <v>0.1595</v>
      </c>
      <c r="D136" s="8" t="n">
        <v>0.1616</v>
      </c>
      <c r="E136" s="9">
        <f>ABS(C136-D136)*100</f>
        <v/>
      </c>
      <c r="F136" s="2" t="n">
        <v>0</v>
      </c>
      <c r="G136" s="10">
        <f>(C136-F136)^2</f>
        <v/>
      </c>
      <c r="H136" s="10">
        <f>(D136-F136)^2</f>
        <v/>
      </c>
      <c r="I136" s="2" t="inlineStr">
        <is>
          <t>clean</t>
        </is>
      </c>
    </row>
    <row r="137">
      <c r="A137" s="2" t="inlineStr">
        <is>
          <t>2026-08-22</t>
        </is>
      </c>
      <c r="B137" s="2" t="inlineStr">
        <is>
          <t>nfl-2026-08-22-no-lar</t>
        </is>
      </c>
      <c r="C137" s="8" t="n">
        <v>0.4013</v>
      </c>
      <c r="D137" s="8" t="n">
        <v>0.4546</v>
      </c>
      <c r="E137" s="9">
        <f>ABS(C137-D137)*100</f>
        <v/>
      </c>
      <c r="F137" s="2" t="n">
        <v>1</v>
      </c>
      <c r="G137" s="10">
        <f>(C137-F137)^2</f>
        <v/>
      </c>
      <c r="H137" s="10">
        <f>(D137-F137)^2</f>
        <v/>
      </c>
      <c r="I137" s="2" t="inlineStr">
        <is>
          <t>clean</t>
        </is>
      </c>
    </row>
    <row r="138">
      <c r="A138" s="2" t="inlineStr">
        <is>
          <t>2026-08-22</t>
        </is>
      </c>
      <c r="B138" s="2" t="inlineStr">
        <is>
          <t>nfl-2026-08-22-nyg-mia</t>
        </is>
      </c>
      <c r="C138" s="8" t="n">
        <v>0.4013</v>
      </c>
      <c r="D138" s="8" t="n">
        <v>0.4007</v>
      </c>
      <c r="E138" s="9">
        <f>ABS(C138-D138)*100</f>
        <v/>
      </c>
      <c r="F138" s="2" t="n">
        <v>0</v>
      </c>
      <c r="G138" s="10">
        <f>(C138-F138)^2</f>
        <v/>
      </c>
      <c r="H138" s="10">
        <f>(D138-F138)^2</f>
        <v/>
      </c>
      <c r="I138" s="2" t="inlineStr">
        <is>
          <t>clean</t>
        </is>
      </c>
    </row>
    <row r="139">
      <c r="A139" s="2" t="inlineStr">
        <is>
          <t>2026-08-22</t>
        </is>
      </c>
      <c r="B139" s="2" t="inlineStr">
        <is>
          <t>nfl-2026-08-22-chi-cin</t>
        </is>
      </c>
      <c r="C139" s="8" t="n">
        <v>0.4547</v>
      </c>
      <c r="D139" s="8" t="n">
        <v>0.4654</v>
      </c>
      <c r="E139" s="9">
        <f>ABS(C139-D139)*100</f>
        <v/>
      </c>
      <c r="F139" s="2" t="n">
        <v>1</v>
      </c>
      <c r="G139" s="10">
        <f>(C139-F139)^2</f>
        <v/>
      </c>
      <c r="H139" s="10">
        <f>(D139-F139)^2</f>
        <v/>
      </c>
      <c r="I139" s="2" t="inlineStr">
        <is>
          <t>clean</t>
        </is>
      </c>
    </row>
    <row r="140">
      <c r="A140" s="2" t="inlineStr">
        <is>
          <t>2026-08-22</t>
        </is>
      </c>
      <c r="B140" s="2" t="inlineStr">
        <is>
          <t>nfl-2026-08-22-dal-ari</t>
        </is>
      </c>
      <c r="C140" s="8" t="n">
        <v>0.5453</v>
      </c>
      <c r="D140" s="8" t="n">
        <v>0.5115</v>
      </c>
      <c r="E140" s="9">
        <f>ABS(C140-D140)*100</f>
        <v/>
      </c>
      <c r="F140" s="2" t="n">
        <v>0</v>
      </c>
      <c r="G140" s="10">
        <f>(C140-F140)^2</f>
        <v/>
      </c>
      <c r="H140" s="10">
        <f>(D140-F140)^2</f>
        <v/>
      </c>
      <c r="I140" s="2" t="inlineStr">
        <is>
          <t>clean</t>
        </is>
      </c>
    </row>
    <row r="141">
      <c r="A141" s="2" t="inlineStr">
        <is>
          <t>2026-08-22</t>
        </is>
      </c>
      <c r="B141" s="2" t="inlineStr">
        <is>
          <t>arg-2026-08-22-ind-riv</t>
        </is>
      </c>
      <c r="C141" s="8" t="n">
        <v>0.4813</v>
      </c>
      <c r="D141" s="8" t="n">
        <v>0.4813</v>
      </c>
      <c r="E141" s="9">
        <f>ABS(C141-D141)*100</f>
        <v/>
      </c>
      <c r="F141" s="2" t="n">
        <v>0</v>
      </c>
      <c r="G141" s="10">
        <f>(C141-F141)^2</f>
        <v/>
      </c>
      <c r="H141" s="10">
        <f>(D141-F141)^2</f>
        <v/>
      </c>
      <c r="I141" s="2" t="inlineStr">
        <is>
          <t>clean</t>
        </is>
      </c>
    </row>
    <row r="142">
      <c r="A142" s="2" t="inlineStr">
        <is>
          <t>2026-08-23</t>
        </is>
      </c>
      <c r="B142" s="2" t="inlineStr">
        <is>
          <t>arg-2026-08-23-boc-rac</t>
        </is>
      </c>
      <c r="C142" s="8" t="n">
        <v>0.3232</v>
      </c>
      <c r="D142" s="8" t="n">
        <v>0.3071</v>
      </c>
      <c r="E142" s="9">
        <f>ABS(C142-D142)*100</f>
        <v/>
      </c>
      <c r="F142" s="2" t="n">
        <v>0</v>
      </c>
      <c r="G142" s="10">
        <f>(C142-F142)^2</f>
        <v/>
      </c>
      <c r="H142" s="10">
        <f>(D142-F142)^2</f>
        <v/>
      </c>
      <c r="I142" s="2" t="inlineStr">
        <is>
          <t>clean</t>
        </is>
      </c>
    </row>
    <row r="143">
      <c r="A143" s="2" t="inlineStr">
        <is>
          <t>2026-08-24</t>
        </is>
      </c>
      <c r="B143" s="2" t="inlineStr">
        <is>
          <t>mlb-2026-08-24-pit-sd</t>
        </is>
      </c>
      <c r="C143" s="8" t="n">
        <v>0.4931</v>
      </c>
      <c r="D143" s="8" t="n">
        <v>0.5</v>
      </c>
      <c r="E143" s="9">
        <f>ABS(C143-D143)*100</f>
        <v/>
      </c>
      <c r="F143" s="2" t="n">
        <v>0</v>
      </c>
      <c r="G143" s="10">
        <f>(C143-F143)^2</f>
        <v/>
      </c>
      <c r="H143" s="10">
        <f>(D143-F143)^2</f>
        <v/>
      </c>
      <c r="I143" s="2" t="inlineStr">
        <is>
          <t>clean</t>
        </is>
      </c>
    </row>
    <row r="144">
      <c r="A144" s="2" t="inlineStr">
        <is>
          <t>2026-08-24</t>
        </is>
      </c>
      <c r="B144" s="2" t="inlineStr">
        <is>
          <t>mlb-2026-08-24-phi-sea</t>
        </is>
      </c>
      <c r="C144" s="8" t="n">
        <v>0.4732</v>
      </c>
      <c r="D144" s="8" t="n">
        <v>0.4885</v>
      </c>
      <c r="E144" s="9">
        <f>ABS(C144-D144)*100</f>
        <v/>
      </c>
      <c r="F144" s="2" t="n">
        <v>1</v>
      </c>
      <c r="G144" s="10">
        <f>(C144-F144)^2</f>
        <v/>
      </c>
      <c r="H144" s="10">
        <f>(D144-F144)^2</f>
        <v/>
      </c>
      <c r="I144" s="2" t="inlineStr">
        <is>
          <t>clean</t>
        </is>
      </c>
    </row>
    <row r="145">
      <c r="A145" s="2" t="inlineStr">
        <is>
          <t>2026-08-24</t>
        </is>
      </c>
      <c r="B145" s="2" t="inlineStr">
        <is>
          <t>mlb-2026-08-24-cle-laa</t>
        </is>
      </c>
      <c r="C145" s="8" t="n">
        <v>0.3974</v>
      </c>
      <c r="D145" s="8" t="n">
        <v>0.4077</v>
      </c>
      <c r="E145" s="9">
        <f>ABS(C145-D145)*100</f>
        <v/>
      </c>
      <c r="F145" s="2" t="n">
        <v>0</v>
      </c>
      <c r="G145" s="10">
        <f>(C145-F145)^2</f>
        <v/>
      </c>
      <c r="H145" s="10">
        <f>(D145-F145)^2</f>
        <v/>
      </c>
      <c r="I145" s="2" t="inlineStr">
        <is>
          <t>clean</t>
        </is>
      </c>
    </row>
    <row r="146">
      <c r="A146" s="2" t="inlineStr">
        <is>
          <t>2026-08-24</t>
        </is>
      </c>
      <c r="B146" s="2" t="inlineStr">
        <is>
          <t>mlb-2026-08-24-chc-az</t>
        </is>
      </c>
      <c r="C146" s="8" t="n">
        <v>0.4318</v>
      </c>
      <c r="D146" s="8" t="n">
        <v>0.4318</v>
      </c>
      <c r="E146" s="9">
        <f>ABS(C146-D146)*100</f>
        <v/>
      </c>
      <c r="F146" s="2" t="n">
        <v>0</v>
      </c>
      <c r="G146" s="10">
        <f>(C146-F146)^2</f>
        <v/>
      </c>
      <c r="H146" s="10">
        <f>(D146-F146)^2</f>
        <v/>
      </c>
      <c r="I146" s="2" t="inlineStr">
        <is>
          <t>clean</t>
        </is>
      </c>
    </row>
    <row r="147">
      <c r="A147" s="2" t="inlineStr">
        <is>
          <t>2026-08-24</t>
        </is>
      </c>
      <c r="B147" s="2" t="inlineStr">
        <is>
          <t>mlb-2026-08-24-min-ath</t>
        </is>
      </c>
      <c r="C147" s="8" t="n">
        <v>0.5874</v>
      </c>
      <c r="D147" s="8" t="n">
        <v>0.4032</v>
      </c>
      <c r="E147" s="9">
        <f>ABS(C147-D147)*100</f>
        <v/>
      </c>
      <c r="F147" s="2" t="n">
        <v>0</v>
      </c>
      <c r="G147" s="10">
        <f>(C147-F147)^2</f>
        <v/>
      </c>
      <c r="H147" s="10">
        <f>(D147-F147)^2</f>
        <v/>
      </c>
      <c r="I147" s="2" t="inlineStr">
        <is>
          <t>clean</t>
        </is>
      </c>
    </row>
    <row r="148">
      <c r="A148" s="2" t="inlineStr">
        <is>
          <t>2026-08-24</t>
        </is>
      </c>
      <c r="B148" s="2" t="inlineStr">
        <is>
          <t>mlb-2026-08-24-cin-sf</t>
        </is>
      </c>
      <c r="C148" s="8" t="n">
        <v>0.4007</v>
      </c>
      <c r="D148" s="8" t="n">
        <v>0.4007</v>
      </c>
      <c r="E148" s="9">
        <f>ABS(C148-D148)*100</f>
        <v/>
      </c>
      <c r="F148" s="2" t="n">
        <v>1</v>
      </c>
      <c r="G148" s="10">
        <f>(C148-F148)^2</f>
        <v/>
      </c>
      <c r="H148" s="10">
        <f>(D148-F148)^2</f>
        <v/>
      </c>
      <c r="I148" s="2" t="inlineStr">
        <is>
          <t>clean</t>
        </is>
      </c>
    </row>
    <row r="149">
      <c r="A149" s="2" t="inlineStr">
        <is>
          <t>2026-08-25</t>
        </is>
      </c>
      <c r="B149" s="2" t="inlineStr">
        <is>
          <t>mlb-2026-08-25-chc-az</t>
        </is>
      </c>
      <c r="C149" s="8" t="n">
        <v>0.5062</v>
      </c>
      <c r="D149" s="8" t="n">
        <v>0.4896</v>
      </c>
      <c r="E149" s="9">
        <f>ABS(C149-D149)*100</f>
        <v/>
      </c>
      <c r="F149" s="2" t="n">
        <v>1</v>
      </c>
      <c r="G149" s="10">
        <f>(C149-F149)^2</f>
        <v/>
      </c>
      <c r="H149" s="10">
        <f>(D149-F149)^2</f>
        <v/>
      </c>
      <c r="I149" s="2" t="inlineStr">
        <is>
          <t>clean</t>
        </is>
      </c>
    </row>
    <row r="150">
      <c r="A150" s="2" t="inlineStr">
        <is>
          <t>2026-08-25</t>
        </is>
      </c>
      <c r="B150" s="2" t="inlineStr">
        <is>
          <t>wnba-2026-08-25-was-phx</t>
        </is>
      </c>
      <c r="C150" s="8" t="n">
        <v>0.4301</v>
      </c>
      <c r="D150" s="8" t="n">
        <v>0.4495</v>
      </c>
      <c r="E150" s="9">
        <f>ABS(C150-D150)*100</f>
        <v/>
      </c>
      <c r="F150" s="2" t="n">
        <v>0</v>
      </c>
      <c r="G150" s="10">
        <f>(C150-F150)^2</f>
        <v/>
      </c>
      <c r="H150" s="10">
        <f>(D150-F150)^2</f>
        <v/>
      </c>
      <c r="I150" s="2" t="inlineStr">
        <is>
          <t>clean</t>
        </is>
      </c>
    </row>
    <row r="151">
      <c r="A151" s="2" t="inlineStr">
        <is>
          <t>2026-08-25</t>
        </is>
      </c>
      <c r="B151" s="2" t="inlineStr">
        <is>
          <t>mlb-2026-08-25-pit-sd</t>
        </is>
      </c>
      <c r="C151" s="8" t="n">
        <v>0.4994</v>
      </c>
      <c r="D151" s="8" t="n">
        <v>0.5189</v>
      </c>
      <c r="E151" s="9">
        <f>ABS(C151-D151)*100</f>
        <v/>
      </c>
      <c r="F151" s="2" t="n">
        <v>0</v>
      </c>
      <c r="G151" s="10">
        <f>(C151-F151)^2</f>
        <v/>
      </c>
      <c r="H151" s="10">
        <f>(D151-F151)^2</f>
        <v/>
      </c>
      <c r="I151" s="2" t="inlineStr">
        <is>
          <t>clean</t>
        </is>
      </c>
    </row>
    <row r="152">
      <c r="A152" s="2" t="inlineStr">
        <is>
          <t>2026-08-25</t>
        </is>
      </c>
      <c r="B152" s="2" t="inlineStr">
        <is>
          <t>mlb-2026-08-25-bal-stl</t>
        </is>
      </c>
      <c r="C152" s="8" t="n">
        <v>0.5457</v>
      </c>
      <c r="D152" s="8" t="n">
        <v>0.5483</v>
      </c>
      <c r="E152" s="9">
        <f>ABS(C152-D152)*100</f>
        <v/>
      </c>
      <c r="F152" s="2" t="n">
        <v>0</v>
      </c>
      <c r="G152" s="10">
        <f>(C152-F152)^2</f>
        <v/>
      </c>
      <c r="H152" s="10">
        <f>(D152-F152)^2</f>
        <v/>
      </c>
      <c r="I152" s="2" t="inlineStr">
        <is>
          <t>clean</t>
        </is>
      </c>
    </row>
    <row r="153">
      <c r="A153" s="2" t="inlineStr">
        <is>
          <t>2026-08-25</t>
        </is>
      </c>
      <c r="B153" s="2" t="inlineStr">
        <is>
          <t>mlb-2026-08-25-phi-sea</t>
        </is>
      </c>
      <c r="C153" s="8" t="n">
        <v>0.4758</v>
      </c>
      <c r="D153" s="8" t="n">
        <v>0.5177</v>
      </c>
      <c r="E153" s="9">
        <f>ABS(C153-D153)*100</f>
        <v/>
      </c>
      <c r="F153" s="2" t="n">
        <v>1</v>
      </c>
      <c r="G153" s="10">
        <f>(C153-F153)^2</f>
        <v/>
      </c>
      <c r="H153" s="10">
        <f>(D153-F153)^2</f>
        <v/>
      </c>
      <c r="I153" s="2" t="inlineStr">
        <is>
          <t>clean</t>
        </is>
      </c>
    </row>
    <row r="154">
      <c r="A154" s="2" t="inlineStr">
        <is>
          <t>2026-08-25</t>
        </is>
      </c>
      <c r="B154" s="2" t="inlineStr">
        <is>
          <t>mlb-2026-08-25-min-ath</t>
        </is>
      </c>
      <c r="C154" s="8" t="n">
        <v>0.4251</v>
      </c>
      <c r="D154" s="8" t="n">
        <v>0.4223</v>
      </c>
      <c r="E154" s="9">
        <f>ABS(C154-D154)*100</f>
        <v/>
      </c>
      <c r="F154" s="2" t="n">
        <v>1</v>
      </c>
      <c r="G154" s="10">
        <f>(C154-F154)^2</f>
        <v/>
      </c>
      <c r="H154" s="10">
        <f>(D154-F154)^2</f>
        <v/>
      </c>
      <c r="I154" s="2" t="inlineStr">
        <is>
          <t>clean</t>
        </is>
      </c>
    </row>
    <row r="155">
      <c r="A155" s="2" t="inlineStr">
        <is>
          <t>2026-08-26</t>
        </is>
      </c>
      <c r="B155" s="2" t="inlineStr">
        <is>
          <t>mlb-2026-08-26-bos-mia</t>
        </is>
      </c>
      <c r="C155" s="8" t="n">
        <v>0.4138</v>
      </c>
      <c r="D155" s="8" t="n">
        <v>0.4161</v>
      </c>
      <c r="E155" s="9">
        <f>ABS(C155-D155)*100</f>
        <v/>
      </c>
      <c r="F155" s="2" t="n">
        <v>1</v>
      </c>
      <c r="G155" s="10">
        <f>(C155-F155)^2</f>
        <v/>
      </c>
      <c r="H155" s="10">
        <f>(D155-F155)^2</f>
        <v/>
      </c>
      <c r="I155" s="2" t="inlineStr">
        <is>
          <t>clean</t>
        </is>
      </c>
    </row>
    <row r="156">
      <c r="A156" s="2" t="inlineStr">
        <is>
          <t>2026-08-26</t>
        </is>
      </c>
      <c r="B156" s="2" t="inlineStr">
        <is>
          <t>mlb-2026-08-26-col-wsh</t>
        </is>
      </c>
      <c r="C156" s="8" t="n">
        <v>0.5324</v>
      </c>
      <c r="D156" s="8" t="n">
        <v>0.5498</v>
      </c>
      <c r="E156" s="9">
        <f>ABS(C156-D156)*100</f>
        <v/>
      </c>
      <c r="F156" s="2" t="n">
        <v>0</v>
      </c>
      <c r="G156" s="10">
        <f>(C156-F156)^2</f>
        <v/>
      </c>
      <c r="H156" s="10">
        <f>(D156-F156)^2</f>
        <v/>
      </c>
      <c r="I156" s="2" t="inlineStr">
        <is>
          <t>clean</t>
        </is>
      </c>
    </row>
    <row r="157">
      <c r="A157" s="2" t="inlineStr">
        <is>
          <t>2026-08-26</t>
        </is>
      </c>
      <c r="B157" s="2" t="inlineStr">
        <is>
          <t>mlb-2026-08-26-hou-nyy</t>
        </is>
      </c>
      <c r="C157" s="8" t="n">
        <v>0.5646</v>
      </c>
      <c r="D157" s="8" t="n">
        <v>0.5454</v>
      </c>
      <c r="E157" s="9">
        <f>ABS(C157-D157)*100</f>
        <v/>
      </c>
      <c r="F157" s="2" t="n">
        <v>1</v>
      </c>
      <c r="G157" s="10">
        <f>(C157-F157)^2</f>
        <v/>
      </c>
      <c r="H157" s="10">
        <f>(D157-F157)^2</f>
        <v/>
      </c>
      <c r="I157" s="2" t="inlineStr">
        <is>
          <t>clean</t>
        </is>
      </c>
    </row>
    <row r="158">
      <c r="A158" s="2" t="inlineStr">
        <is>
          <t>2026-08-26</t>
        </is>
      </c>
      <c r="B158" s="2" t="inlineStr">
        <is>
          <t>mlb-2026-08-26-kc-tor</t>
        </is>
      </c>
      <c r="C158" s="8" t="n">
        <v>0.5587</v>
      </c>
      <c r="D158" s="8" t="n">
        <v>0.5855</v>
      </c>
      <c r="E158" s="9">
        <f>ABS(C158-D158)*100</f>
        <v/>
      </c>
      <c r="F158" s="2" t="n">
        <v>1</v>
      </c>
      <c r="G158" s="10">
        <f>(C158-F158)^2</f>
        <v/>
      </c>
      <c r="H158" s="10">
        <f>(D158-F158)^2</f>
        <v/>
      </c>
      <c r="I158" s="2" t="inlineStr">
        <is>
          <t>clean</t>
        </is>
      </c>
    </row>
    <row r="159">
      <c r="A159" s="2" t="inlineStr">
        <is>
          <t>2026-08-26</t>
        </is>
      </c>
      <c r="B159" s="2" t="inlineStr">
        <is>
          <t>mlb-2026-08-26-mil-nym</t>
        </is>
      </c>
      <c r="C159" s="8" t="n">
        <v>0.4023</v>
      </c>
      <c r="D159" s="8" t="n">
        <v>0.4093</v>
      </c>
      <c r="E159" s="9">
        <f>ABS(C159-D159)*100</f>
        <v/>
      </c>
      <c r="F159" s="2" t="n">
        <v>0</v>
      </c>
      <c r="G159" s="10">
        <f>(C159-F159)^2</f>
        <v/>
      </c>
      <c r="H159" s="10">
        <f>(D159-F159)^2</f>
        <v/>
      </c>
      <c r="I159" s="2" t="inlineStr">
        <is>
          <t>clean</t>
        </is>
      </c>
    </row>
    <row r="160">
      <c r="A160" s="2" t="inlineStr">
        <is>
          <t>2026-08-26</t>
        </is>
      </c>
      <c r="B160" s="2" t="inlineStr">
        <is>
          <t>mlb-2026-08-26-lad-atl</t>
        </is>
      </c>
      <c r="C160" s="8" t="n">
        <v>0.4546</v>
      </c>
      <c r="D160" s="8" t="n">
        <v>0.4523</v>
      </c>
      <c r="E160" s="9">
        <f>ABS(C160-D160)*100</f>
        <v/>
      </c>
      <c r="F160" s="2" t="n">
        <v>1</v>
      </c>
      <c r="G160" s="10">
        <f>(C160-F160)^2</f>
        <v/>
      </c>
      <c r="H160" s="10">
        <f>(D160-F160)^2</f>
        <v/>
      </c>
      <c r="I160" s="2" t="inlineStr">
        <is>
          <t>clean</t>
        </is>
      </c>
    </row>
    <row r="161">
      <c r="A161" s="2" t="inlineStr">
        <is>
          <t>2026-08-26</t>
        </is>
      </c>
      <c r="B161" s="2" t="inlineStr">
        <is>
          <t>mlb-2026-08-26-bal-stl</t>
        </is>
      </c>
      <c r="C161" s="8" t="n">
        <v>0.4955</v>
      </c>
      <c r="D161" s="8" t="n">
        <v>0.4891</v>
      </c>
      <c r="E161" s="9">
        <f>ABS(C161-D161)*100</f>
        <v/>
      </c>
      <c r="F161" s="2" t="n">
        <v>0</v>
      </c>
      <c r="G161" s="10">
        <f>(C161-F161)^2</f>
        <v/>
      </c>
      <c r="H161" s="10">
        <f>(D161-F161)^2</f>
        <v/>
      </c>
      <c r="I161" s="2" t="inlineStr">
        <is>
          <t>premise_busted</t>
        </is>
      </c>
    </row>
    <row r="162">
      <c r="A162" s="2" t="inlineStr">
        <is>
          <t>2026-08-26</t>
        </is>
      </c>
      <c r="B162" s="2" t="inlineStr">
        <is>
          <t>wnba-2026-08-26-tor-sea</t>
        </is>
      </c>
      <c r="C162" s="8" t="n">
        <v>0.6707</v>
      </c>
      <c r="D162" s="8" t="n">
        <v>0.7131999999999999</v>
      </c>
      <c r="E162" s="9">
        <f>ABS(C162-D162)*100</f>
        <v/>
      </c>
      <c r="F162" s="2" t="n">
        <v>1</v>
      </c>
      <c r="G162" s="10">
        <f>(C162-F162)^2</f>
        <v/>
      </c>
      <c r="H162" s="10">
        <f>(D162-F162)^2</f>
        <v/>
      </c>
      <c r="I162" s="2" t="inlineStr">
        <is>
          <t>clean</t>
        </is>
      </c>
    </row>
    <row r="163">
      <c r="A163" s="2" t="inlineStr">
        <is>
          <t>2026-08-28</t>
        </is>
      </c>
      <c r="B163" s="2" t="inlineStr">
        <is>
          <t>cfl-2026-08-28-mtl-wpg</t>
        </is>
      </c>
      <c r="C163" s="8" t="n">
        <v>0.2669</v>
      </c>
      <c r="D163" s="8" t="n">
        <v>0.2669</v>
      </c>
      <c r="E163" s="9">
        <f>ABS(C163-D163)*100</f>
        <v/>
      </c>
      <c r="F163" s="2" t="n">
        <v>1</v>
      </c>
      <c r="G163" s="10">
        <f>(C163-F163)^2</f>
        <v/>
      </c>
      <c r="H163" s="10">
        <f>(D163-F163)^2</f>
        <v/>
      </c>
      <c r="I163" s="2" t="inlineStr">
        <is>
          <t>clean</t>
        </is>
      </c>
    </row>
    <row r="164">
      <c r="A164" s="2" t="inlineStr">
        <is>
          <t>2026-08-28</t>
        </is>
      </c>
      <c r="B164" s="2" t="inlineStr">
        <is>
          <t>mlb-2026-08-28-bos-nyy</t>
        </is>
      </c>
      <c r="C164" s="8" t="n">
        <v>0.587</v>
      </c>
      <c r="D164" s="8" t="n">
        <v>0.6009</v>
      </c>
      <c r="E164" s="9">
        <f>ABS(C164-D164)*100</f>
        <v/>
      </c>
      <c r="F164" s="2" t="n">
        <v>1</v>
      </c>
      <c r="G164" s="10">
        <f>(C164-F164)^2</f>
        <v/>
      </c>
      <c r="H164" s="10">
        <f>(D164-F164)^2</f>
        <v/>
      </c>
      <c r="I164" s="2" t="inlineStr">
        <is>
          <t>clean</t>
        </is>
      </c>
    </row>
    <row r="165">
      <c r="A165" s="2" t="inlineStr">
        <is>
          <t>2026-08-28</t>
        </is>
      </c>
      <c r="B165" s="2" t="inlineStr">
        <is>
          <t>mlb-2026-08-28-mia-wsh</t>
        </is>
      </c>
      <c r="C165" s="8" t="n">
        <v>0.411</v>
      </c>
      <c r="D165" s="8" t="n">
        <v>0.4127</v>
      </c>
      <c r="E165" s="9">
        <f>ABS(C165-D165)*100</f>
        <v/>
      </c>
      <c r="F165" s="2" t="n">
        <v>1</v>
      </c>
      <c r="G165" s="10">
        <f>(C165-F165)^2</f>
        <v/>
      </c>
      <c r="H165" s="10">
        <f>(D165-F165)^2</f>
        <v/>
      </c>
      <c r="I165" s="2" t="inlineStr">
        <is>
          <t>clean</t>
        </is>
      </c>
    </row>
    <row r="166">
      <c r="A166" s="2" t="inlineStr">
        <is>
          <t>2026-08-28</t>
        </is>
      </c>
      <c r="B166" s="2" t="inlineStr">
        <is>
          <t>mlb-2026-08-28-sd-tb</t>
        </is>
      </c>
      <c r="C166" s="8" t="n">
        <v>0.5570000000000001</v>
      </c>
      <c r="D166" s="8" t="n">
        <v>0.5503</v>
      </c>
      <c r="E166" s="9">
        <f>ABS(C166-D166)*100</f>
        <v/>
      </c>
      <c r="F166" s="2" t="n">
        <v>1</v>
      </c>
      <c r="G166" s="10">
        <f>(C166-F166)^2</f>
        <v/>
      </c>
      <c r="H166" s="10">
        <f>(D166-F166)^2</f>
        <v/>
      </c>
      <c r="I166" s="2" t="inlineStr">
        <is>
          <t>clean</t>
        </is>
      </c>
    </row>
    <row r="167">
      <c r="A167" s="2" t="inlineStr">
        <is>
          <t>2026-08-28</t>
        </is>
      </c>
      <c r="B167" s="2" t="inlineStr">
        <is>
          <t>mlb-2026-08-28-kc-cle</t>
        </is>
      </c>
      <c r="C167" s="8" t="n">
        <v>0.5612</v>
      </c>
      <c r="D167" s="8" t="n">
        <v>0.5558999999999999</v>
      </c>
      <c r="E167" s="9">
        <f>ABS(C167-D167)*100</f>
        <v/>
      </c>
      <c r="F167" s="2" t="n">
        <v>0</v>
      </c>
      <c r="G167" s="10">
        <f>(C167-F167)^2</f>
        <v/>
      </c>
      <c r="H167" s="10">
        <f>(D167-F167)^2</f>
        <v/>
      </c>
      <c r="I167" s="2" t="inlineStr">
        <is>
          <t>clean</t>
        </is>
      </c>
    </row>
    <row r="168">
      <c r="A168" s="2" t="inlineStr">
        <is>
          <t>2026-08-28</t>
        </is>
      </c>
      <c r="B168" s="2" t="inlineStr">
        <is>
          <t>mlb-2026-08-28-col-atl</t>
        </is>
      </c>
      <c r="C168" s="8" t="n">
        <v>0.6811</v>
      </c>
      <c r="D168" s="8" t="n">
        <v>0.6714</v>
      </c>
      <c r="E168" s="9">
        <f>ABS(C168-D168)*100</f>
        <v/>
      </c>
      <c r="F168" s="2" t="n">
        <v>1</v>
      </c>
      <c r="G168" s="10">
        <f>(C168-F168)^2</f>
        <v/>
      </c>
      <c r="H168" s="10">
        <f>(D168-F168)^2</f>
        <v/>
      </c>
      <c r="I168" s="2" t="inlineStr">
        <is>
          <t>clean</t>
        </is>
      </c>
    </row>
    <row r="169">
      <c r="A169" s="2" t="inlineStr">
        <is>
          <t>2026-08-28</t>
        </is>
      </c>
      <c r="B169" s="2" t="inlineStr">
        <is>
          <t>mlb-2026-08-28-cws-min</t>
        </is>
      </c>
      <c r="C169" s="8" t="n">
        <v>0.5164</v>
      </c>
      <c r="D169" s="8" t="n">
        <v>0.5505</v>
      </c>
      <c r="E169" s="9">
        <f>ABS(C169-D169)*100</f>
        <v/>
      </c>
      <c r="F169" s="2" t="n">
        <v>0</v>
      </c>
      <c r="G169" s="10">
        <f>(C169-F169)^2</f>
        <v/>
      </c>
      <c r="H169" s="10">
        <f>(D169-F169)^2</f>
        <v/>
      </c>
      <c r="I169" s="2" t="inlineStr">
        <is>
          <t>clean</t>
        </is>
      </c>
    </row>
    <row r="170">
      <c r="A170" s="2" t="inlineStr">
        <is>
          <t>2026-08-28</t>
        </is>
      </c>
      <c r="B170" s="2" t="inlineStr">
        <is>
          <t>mlb-2026-08-28-pit-stl</t>
        </is>
      </c>
      <c r="C170" s="8" t="n">
        <v>0.5132</v>
      </c>
      <c r="D170" s="8" t="n">
        <v>0.4832</v>
      </c>
      <c r="E170" s="9">
        <f>ABS(C170-D170)*100</f>
        <v/>
      </c>
      <c r="F170" s="2" t="n">
        <v>1</v>
      </c>
      <c r="G170" s="10">
        <f>(C170-F170)^2</f>
        <v/>
      </c>
      <c r="H170" s="10">
        <f>(D170-F170)^2</f>
        <v/>
      </c>
      <c r="I170" s="2" t="inlineStr">
        <is>
          <t>clean</t>
        </is>
      </c>
    </row>
    <row r="171">
      <c r="A171" s="2" t="inlineStr">
        <is>
          <t>2026-08-28</t>
        </is>
      </c>
      <c r="B171" s="2" t="inlineStr">
        <is>
          <t>mlb-2026-08-28-phi-laa</t>
        </is>
      </c>
      <c r="C171" s="8" t="n">
        <v>0.4564</v>
      </c>
      <c r="D171" s="8" t="n">
        <v>0.447</v>
      </c>
      <c r="E171" s="9">
        <f>ABS(C171-D171)*100</f>
        <v/>
      </c>
      <c r="F171" s="2" t="n">
        <v>0</v>
      </c>
      <c r="G171" s="10">
        <f>(C171-F171)^2</f>
        <v/>
      </c>
      <c r="H171" s="10">
        <f>(D171-F171)^2</f>
        <v/>
      </c>
      <c r="I171" s="2" t="inlineStr">
        <is>
          <t>clean</t>
        </is>
      </c>
    </row>
    <row r="172">
      <c r="A172" s="2" t="inlineStr">
        <is>
          <t>2026-08-28</t>
        </is>
      </c>
      <c r="B172" s="2" t="inlineStr">
        <is>
          <t>mlb-2026-08-28-bal-ath</t>
        </is>
      </c>
      <c r="C172" s="8" t="n">
        <v>0.4973</v>
      </c>
      <c r="D172" s="8" t="n">
        <v>0.4909</v>
      </c>
      <c r="E172" s="9">
        <f>ABS(C172-D172)*100</f>
        <v/>
      </c>
      <c r="F172" s="2" t="n">
        <v>0</v>
      </c>
      <c r="G172" s="10">
        <f>(C172-F172)^2</f>
        <v/>
      </c>
      <c r="H172" s="10">
        <f>(D172-F172)^2</f>
        <v/>
      </c>
      <c r="I172" s="2" t="inlineStr">
        <is>
          <t>clean</t>
        </is>
      </c>
    </row>
    <row r="173">
      <c r="A173" s="2" t="inlineStr">
        <is>
          <t>2026-08-28</t>
        </is>
      </c>
      <c r="B173" s="2" t="inlineStr">
        <is>
          <t>mlb-2026-08-28-az-sf</t>
        </is>
      </c>
      <c r="C173" s="8" t="n">
        <v>0.4551</v>
      </c>
      <c r="D173" s="8" t="n">
        <v>0.4621</v>
      </c>
      <c r="E173" s="9">
        <f>ABS(C173-D173)*100</f>
        <v/>
      </c>
      <c r="F173" s="2" t="n">
        <v>0</v>
      </c>
      <c r="G173" s="10">
        <f>(C173-F173)^2</f>
        <v/>
      </c>
      <c r="H173" s="10">
        <f>(D173-F173)^2</f>
        <v/>
      </c>
      <c r="I173" s="2" t="inlineStr">
        <is>
          <t>clean</t>
        </is>
      </c>
    </row>
    <row r="174">
      <c r="A174" s="2" t="inlineStr">
        <is>
          <t>2026-08-28</t>
        </is>
      </c>
      <c r="B174" s="2" t="inlineStr">
        <is>
          <t>wnba-2026-08-28-was-la</t>
        </is>
      </c>
      <c r="C174" s="8" t="n">
        <v>0.3465</v>
      </c>
      <c r="D174" s="8" t="n">
        <v>0.332</v>
      </c>
      <c r="E174" s="9">
        <f>ABS(C174-D174)*100</f>
        <v/>
      </c>
      <c r="F174" s="2" t="n">
        <v>1</v>
      </c>
      <c r="G174" s="10">
        <f>(C174-F174)^2</f>
        <v/>
      </c>
      <c r="H174" s="10">
        <f>(D174-F174)^2</f>
        <v/>
      </c>
      <c r="I174" s="2" t="inlineStr">
        <is>
          <t>clean</t>
        </is>
      </c>
    </row>
    <row r="175">
      <c r="A175" s="2" t="inlineStr">
        <is>
          <t>2026-08-28</t>
        </is>
      </c>
      <c r="B175" s="2" t="inlineStr">
        <is>
          <t>cfb-2026-08-28-ida-cp</t>
        </is>
      </c>
      <c r="C175" s="8" t="n">
        <v>0.3994</v>
      </c>
      <c r="D175" s="8" t="n">
        <v>0.3876</v>
      </c>
      <c r="E175" s="9">
        <f>ABS(C175-D175)*100</f>
        <v/>
      </c>
      <c r="F175" s="2" t="n">
        <v>1</v>
      </c>
      <c r="G175" s="10">
        <f>(C175-F175)^2</f>
        <v/>
      </c>
      <c r="H175" s="10">
        <f>(D175-F175)^2</f>
        <v/>
      </c>
      <c r="I175" s="2" t="inlineStr">
        <is>
          <t>clean</t>
        </is>
      </c>
    </row>
    <row r="176">
      <c r="A176" s="2" t="inlineStr">
        <is>
          <t>2026-08-28</t>
        </is>
      </c>
      <c r="B176" s="2" t="inlineStr">
        <is>
          <t>nflpre-2026-08-28-cin-phi</t>
        </is>
      </c>
      <c r="C176" s="8" t="n">
        <v>0.575</v>
      </c>
      <c r="D176" s="8" t="n">
        <v>0.5749</v>
      </c>
      <c r="E176" s="9">
        <f>ABS(C176-D176)*100</f>
        <v/>
      </c>
      <c r="F176" s="2" t="n">
        <v>0</v>
      </c>
      <c r="G176" s="10">
        <f>(C176-F176)^2</f>
        <v/>
      </c>
      <c r="H176" s="10">
        <f>(D176-F176)^2</f>
        <v/>
      </c>
      <c r="I176" s="2" t="inlineStr">
        <is>
          <t>clean</t>
        </is>
      </c>
    </row>
    <row r="177">
      <c r="A177" s="2" t="inlineStr">
        <is>
          <t>2026-08-31</t>
        </is>
      </c>
      <c r="B177" s="2" t="inlineStr">
        <is>
          <t>seriea-2026-08-31-bol-ata</t>
        </is>
      </c>
      <c r="C177" s="8" t="n">
        <v>0.5085</v>
      </c>
      <c r="D177" s="8" t="n">
        <v>0.6375</v>
      </c>
      <c r="E177" s="9">
        <f>ABS(C177-D177)*100</f>
        <v/>
      </c>
      <c r="F177" s="2" t="n">
        <v>1</v>
      </c>
      <c r="G177" s="10">
        <f>(C177-F177)^2</f>
        <v/>
      </c>
      <c r="H177" s="10">
        <f>(D177-F177)^2</f>
        <v/>
      </c>
      <c r="I177" s="2" t="inlineStr">
        <is>
          <t>clean</t>
        </is>
      </c>
    </row>
    <row r="178">
      <c r="A178" s="2" t="inlineStr">
        <is>
          <t>2026-08-31</t>
        </is>
      </c>
      <c r="B178" s="2" t="inlineStr">
        <is>
          <t>laliga-2026-08-31-ray-bar</t>
        </is>
      </c>
      <c r="C178" s="8" t="n">
        <v>0.8749</v>
      </c>
      <c r="D178" s="8" t="n">
        <v>0.9211</v>
      </c>
      <c r="E178" s="9">
        <f>ABS(C178-D178)*100</f>
        <v/>
      </c>
      <c r="F178" s="2" t="n">
        <v>1</v>
      </c>
      <c r="G178" s="10">
        <f>(C178-F178)^2</f>
        <v/>
      </c>
      <c r="H178" s="10">
        <f>(D178-F178)^2</f>
        <v/>
      </c>
      <c r="I178" s="2" t="inlineStr">
        <is>
          <t>clean</t>
        </is>
      </c>
    </row>
    <row r="179">
      <c r="A179" s="2" t="inlineStr">
        <is>
          <t>2026-08-31</t>
        </is>
      </c>
      <c r="B179" s="2" t="inlineStr">
        <is>
          <t>mlb-2026-08-31-sf-atl</t>
        </is>
      </c>
      <c r="C179" s="8" t="n">
        <v>0.6</v>
      </c>
      <c r="D179" s="8" t="n">
        <v>0.5958</v>
      </c>
      <c r="E179" s="9">
        <f>ABS(C179-D179)*100</f>
        <v/>
      </c>
      <c r="F179" s="2" t="n">
        <v>0</v>
      </c>
      <c r="G179" s="10">
        <f>(C179-F179)^2</f>
        <v/>
      </c>
      <c r="H179" s="10">
        <f>(D179-F179)^2</f>
        <v/>
      </c>
      <c r="I179" s="2" t="inlineStr">
        <is>
          <t>clean</t>
        </is>
      </c>
    </row>
    <row r="180">
      <c r="A180" s="2" t="inlineStr">
        <is>
          <t>2026-08-31</t>
        </is>
      </c>
      <c r="B180" s="2" t="inlineStr">
        <is>
          <t>mlb-2026-08-31-sd-cin</t>
        </is>
      </c>
      <c r="C180" s="8" t="n">
        <v>0.4213</v>
      </c>
      <c r="D180" s="8" t="n">
        <v>0.4152</v>
      </c>
      <c r="E180" s="9">
        <f>ABS(C180-D180)*100</f>
        <v/>
      </c>
      <c r="F180" s="2" t="n">
        <v>0</v>
      </c>
      <c r="G180" s="10">
        <f>(C180-F180)^2</f>
        <v/>
      </c>
      <c r="H180" s="10">
        <f>(D180-F180)^2</f>
        <v/>
      </c>
      <c r="I180" s="2" t="inlineStr">
        <is>
          <t>clean</t>
        </is>
      </c>
    </row>
    <row r="181">
      <c r="A181" s="2" t="inlineStr">
        <is>
          <t>2026-08-31</t>
        </is>
      </c>
      <c r="B181" s="2" t="inlineStr">
        <is>
          <t>mlb-2026-08-31-nym-tb</t>
        </is>
      </c>
      <c r="C181" s="8" t="n">
        <v>0.6116</v>
      </c>
      <c r="D181" s="8" t="n">
        <v>0.626</v>
      </c>
      <c r="E181" s="9">
        <f>ABS(C181-D181)*100</f>
        <v/>
      </c>
      <c r="F181" s="2" t="n">
        <v>0</v>
      </c>
      <c r="G181" s="10">
        <f>(C181-F181)^2</f>
        <v/>
      </c>
      <c r="H181" s="10">
        <f>(D181-F181)^2</f>
        <v/>
      </c>
      <c r="I181" s="2" t="inlineStr">
        <is>
          <t>clean</t>
        </is>
      </c>
    </row>
    <row r="182">
      <c r="A182" s="2" t="inlineStr">
        <is>
          <t>2026-08-31</t>
        </is>
      </c>
      <c r="B182" s="2" t="inlineStr">
        <is>
          <t>mlb-2026-08-31-mia-wsh</t>
        </is>
      </c>
      <c r="C182" s="8" t="n">
        <v>0.4791</v>
      </c>
      <c r="D182" s="8" t="n">
        <v>0.4791</v>
      </c>
      <c r="E182" s="9">
        <f>ABS(C182-D182)*100</f>
        <v/>
      </c>
      <c r="F182" s="2" t="n">
        <v>1</v>
      </c>
      <c r="G182" s="10">
        <f>(C182-F182)^2</f>
        <v/>
      </c>
      <c r="H182" s="10">
        <f>(D182-F182)^2</f>
        <v/>
      </c>
      <c r="I182" s="2" t="inlineStr">
        <is>
          <t>clean</t>
        </is>
      </c>
    </row>
    <row r="183">
      <c r="A183" s="2" t="inlineStr">
        <is>
          <t>2026-08-31</t>
        </is>
      </c>
      <c r="B183" s="2" t="inlineStr">
        <is>
          <t>mlb-2026-08-31-sea-bos</t>
        </is>
      </c>
      <c r="C183" s="8" t="n">
        <v>0.6069</v>
      </c>
      <c r="D183" s="8" t="n">
        <v>0.6063</v>
      </c>
      <c r="E183" s="9">
        <f>ABS(C183-D183)*100</f>
        <v/>
      </c>
      <c r="F183" s="2" t="n">
        <v>1</v>
      </c>
      <c r="G183" s="10">
        <f>(C183-F183)^2</f>
        <v/>
      </c>
      <c r="H183" s="10">
        <f>(D183-F183)^2</f>
        <v/>
      </c>
      <c r="I183" s="2" t="inlineStr">
        <is>
          <t>clean</t>
        </is>
      </c>
    </row>
    <row r="184">
      <c r="A184" s="2" t="inlineStr">
        <is>
          <t>2026-08-31</t>
        </is>
      </c>
      <c r="B184" s="2" t="inlineStr">
        <is>
          <t>atp-2026-08-31-she-gri</t>
        </is>
      </c>
      <c r="C184" s="8" t="n">
        <v>0.1343</v>
      </c>
      <c r="D184" s="8" t="n">
        <v>0.1303</v>
      </c>
      <c r="E184" s="9">
        <f>ABS(C184-D184)*100</f>
        <v/>
      </c>
      <c r="F184" s="2" t="n">
        <v>0</v>
      </c>
      <c r="G184" s="10">
        <f>(C184-F184)^2</f>
        <v/>
      </c>
      <c r="H184" s="10">
        <f>(D184-F184)^2</f>
        <v/>
      </c>
      <c r="I184" s="2" t="inlineStr">
        <is>
          <t>clean</t>
        </is>
      </c>
    </row>
    <row r="185">
      <c r="A185" s="2" t="inlineStr">
        <is>
          <t>2026-08-31</t>
        </is>
      </c>
      <c r="B185" s="2" t="inlineStr">
        <is>
          <t>wta-2026-08-31-osa-zak</t>
        </is>
      </c>
      <c r="C185" s="8" t="n">
        <v>0.101</v>
      </c>
      <c r="D185" s="8" t="n">
        <v>0.0859</v>
      </c>
      <c r="E185" s="9">
        <f>ABS(C185-D185)*100</f>
        <v/>
      </c>
      <c r="F185" s="2" t="n">
        <v>0</v>
      </c>
      <c r="G185" s="10">
        <f>(C185-F185)^2</f>
        <v/>
      </c>
      <c r="H185" s="10">
        <f>(D185-F185)^2</f>
        <v/>
      </c>
      <c r="I185" s="2" t="inlineStr">
        <is>
          <t>clean</t>
        </is>
      </c>
    </row>
    <row r="186">
      <c r="A186" s="2" t="inlineStr">
        <is>
          <t>2026-08-31</t>
        </is>
      </c>
      <c r="B186" s="2" t="inlineStr">
        <is>
          <t>atp-2026-08-31-dam-tia</t>
        </is>
      </c>
      <c r="C186" s="8" t="n">
        <v>0.7828000000000001</v>
      </c>
      <c r="D186" s="8" t="n">
        <v>0.7824</v>
      </c>
      <c r="E186" s="9">
        <f>ABS(C186-D186)*100</f>
        <v/>
      </c>
      <c r="F186" s="2" t="n">
        <v>1</v>
      </c>
      <c r="G186" s="10">
        <f>(C186-F186)^2</f>
        <v/>
      </c>
      <c r="H186" s="10">
        <f>(D186-F186)^2</f>
        <v/>
      </c>
      <c r="I186" s="2" t="inlineStr">
        <is>
          <t>clean</t>
        </is>
      </c>
    </row>
    <row r="187">
      <c r="A187" s="2" t="inlineStr">
        <is>
          <t>2026-08-31</t>
        </is>
      </c>
      <c r="B187" s="2" t="inlineStr">
        <is>
          <t>mlb-2026-08-31-mil-chc</t>
        </is>
      </c>
      <c r="C187" s="8" t="n">
        <v>0.3567</v>
      </c>
      <c r="D187" s="8" t="n">
        <v>0.5112</v>
      </c>
      <c r="E187" s="9">
        <f>ABS(C187-D187)*100</f>
        <v/>
      </c>
      <c r="F187" s="2" t="n">
        <v>1</v>
      </c>
      <c r="G187" s="10">
        <f>(C187-F187)^2</f>
        <v/>
      </c>
      <c r="H187" s="10">
        <f>(D187-F187)^2</f>
        <v/>
      </c>
      <c r="I187" s="2" t="inlineStr">
        <is>
          <t>phantom_anchor</t>
        </is>
      </c>
    </row>
    <row r="188">
      <c r="A188" s="2" t="inlineStr">
        <is>
          <t>2026-08-31</t>
        </is>
      </c>
      <c r="B188" s="2" t="inlineStr">
        <is>
          <t>mlb-2026-08-31-cws-hou</t>
        </is>
      </c>
      <c r="C188" s="8" t="n">
        <v>0.5498</v>
      </c>
      <c r="D188" s="8" t="n">
        <v>0.5548</v>
      </c>
      <c r="E188" s="9">
        <f>ABS(C188-D188)*100</f>
        <v/>
      </c>
      <c r="F188" s="2" t="n">
        <v>1</v>
      </c>
      <c r="G188" s="10">
        <f>(C188-F188)^2</f>
        <v/>
      </c>
      <c r="H188" s="10">
        <f>(D188-F188)^2</f>
        <v/>
      </c>
      <c r="I188" s="2" t="inlineStr">
        <is>
          <t>clean</t>
        </is>
      </c>
    </row>
    <row r="189">
      <c r="A189" s="2" t="inlineStr">
        <is>
          <t>2026-08-31</t>
        </is>
      </c>
      <c r="B189" s="2" t="inlineStr">
        <is>
          <t>mlb-2026-08-31-bal-col</t>
        </is>
      </c>
      <c r="C189" s="8" t="n">
        <v>0.4386</v>
      </c>
      <c r="D189" s="8" t="n">
        <v>0.4356</v>
      </c>
      <c r="E189" s="9">
        <f>ABS(C189-D189)*100</f>
        <v/>
      </c>
      <c r="F189" s="2" t="n">
        <v>0</v>
      </c>
      <c r="G189" s="10">
        <f>(C189-F189)^2</f>
        <v/>
      </c>
      <c r="H189" s="10">
        <f>(D189-F189)^2</f>
        <v/>
      </c>
      <c r="I189" s="2" t="inlineStr">
        <is>
          <t>premise_changed</t>
        </is>
      </c>
    </row>
    <row r="190">
      <c r="A190" s="2" t="inlineStr">
        <is>
          <t>2026-08-31</t>
        </is>
      </c>
      <c r="B190" s="2" t="inlineStr">
        <is>
          <t>mlb-2026-08-31-nyy-laa</t>
        </is>
      </c>
      <c r="C190" s="8" t="n">
        <v>0.4422</v>
      </c>
      <c r="D190" s="8" t="n">
        <v>0.4649</v>
      </c>
      <c r="E190" s="9">
        <f>ABS(C190-D190)*100</f>
        <v/>
      </c>
      <c r="F190" s="2" t="n">
        <v>1</v>
      </c>
      <c r="G190" s="10">
        <f>(C190-F190)^2</f>
        <v/>
      </c>
      <c r="H190" s="10">
        <f>(D190-F190)^2</f>
        <v/>
      </c>
      <c r="I190" s="2" t="inlineStr">
        <is>
          <t>clean</t>
        </is>
      </c>
    </row>
    <row r="191">
      <c r="A191" s="2" t="inlineStr">
        <is>
          <t>2026-08-31</t>
        </is>
      </c>
      <c r="B191" s="2" t="inlineStr">
        <is>
          <t>mlb-2026-08-31-phi-az</t>
        </is>
      </c>
      <c r="C191" s="8" t="n">
        <v>0.4867</v>
      </c>
      <c r="D191" s="8" t="n">
        <v>0.4736</v>
      </c>
      <c r="E191" s="9">
        <f>ABS(C191-D191)*100</f>
        <v/>
      </c>
      <c r="F191" s="2" t="n">
        <v>0</v>
      </c>
      <c r="G191" s="10">
        <f>(C191-F191)^2</f>
        <v/>
      </c>
      <c r="H191" s="10">
        <f>(D191-F191)^2</f>
        <v/>
      </c>
      <c r="I191" s="2" t="inlineStr">
        <is>
          <t>clean</t>
        </is>
      </c>
    </row>
    <row r="192">
      <c r="A192" s="2" t="inlineStr">
        <is>
          <t>2026-09-01</t>
        </is>
      </c>
      <c r="B192" s="2" t="inlineStr">
        <is>
          <t>cdb-2026-09-01-cru-atlmg</t>
        </is>
      </c>
      <c r="C192" s="8" t="n">
        <v>0.3813</v>
      </c>
      <c r="D192" s="8" t="n">
        <v>0.5365</v>
      </c>
      <c r="E192" s="9">
        <f>ABS(C192-D192)*100</f>
        <v/>
      </c>
      <c r="F192" s="2" t="n">
        <v>1</v>
      </c>
      <c r="G192" s="10">
        <f>(C192-F192)^2</f>
        <v/>
      </c>
      <c r="H192" s="10">
        <f>(D192-F192)^2</f>
        <v/>
      </c>
      <c r="I192" s="2" t="inlineStr">
        <is>
          <t>clean</t>
        </is>
      </c>
    </row>
    <row r="193">
      <c r="A193" s="2" t="inlineStr">
        <is>
          <t>2026-09-01</t>
        </is>
      </c>
      <c r="B193" s="2" t="inlineStr">
        <is>
          <t>atp-2026-09-01-val-mon</t>
        </is>
      </c>
      <c r="C193" s="8" t="n">
        <v>0.3969</v>
      </c>
      <c r="D193" s="8" t="n">
        <v>0.4483</v>
      </c>
      <c r="E193" s="9">
        <f>ABS(C193-D193)*100</f>
        <v/>
      </c>
      <c r="F193" s="2" t="n">
        <v>1</v>
      </c>
      <c r="G193" s="10">
        <f>(C193-F193)^2</f>
        <v/>
      </c>
      <c r="H193" s="10">
        <f>(D193-F193)^2</f>
        <v/>
      </c>
      <c r="I193" s="2" t="inlineStr">
        <is>
          <t>clean</t>
        </is>
      </c>
    </row>
    <row r="194">
      <c r="A194" s="2" t="inlineStr">
        <is>
          <t>2026-09-01</t>
        </is>
      </c>
      <c r="B194" s="2" t="inlineStr">
        <is>
          <t>wta-2026-09-01-sto-eal</t>
        </is>
      </c>
      <c r="C194" s="8" t="n">
        <v>0.7923</v>
      </c>
      <c r="D194" s="8" t="n">
        <v>0.8025</v>
      </c>
      <c r="E194" s="9">
        <f>ABS(C194-D194)*100</f>
        <v/>
      </c>
      <c r="F194" s="2" t="n">
        <v>1</v>
      </c>
      <c r="G194" s="10">
        <f>(C194-F194)^2</f>
        <v/>
      </c>
      <c r="H194" s="10">
        <f>(D194-F194)^2</f>
        <v/>
      </c>
      <c r="I194" s="2" t="inlineStr">
        <is>
          <t>clean</t>
        </is>
      </c>
    </row>
    <row r="195">
      <c r="A195" s="2" t="inlineStr">
        <is>
          <t>2026-09-01</t>
        </is>
      </c>
      <c r="B195" s="2" t="inlineStr">
        <is>
          <t>mlb-2026-09-01-tor-cle</t>
        </is>
      </c>
      <c r="C195" s="8" t="n">
        <v>0.6243</v>
      </c>
      <c r="D195" s="8" t="n">
        <v>0.6292</v>
      </c>
      <c r="E195" s="9">
        <f>ABS(C195-D195)*100</f>
        <v/>
      </c>
      <c r="F195" s="2" t="n">
        <v>1</v>
      </c>
      <c r="G195" s="10">
        <f>(C195-F195)^2</f>
        <v/>
      </c>
      <c r="H195" s="10">
        <f>(D195-F195)^2</f>
        <v/>
      </c>
      <c r="I195" s="2" t="inlineStr">
        <is>
          <t>clean</t>
        </is>
      </c>
    </row>
    <row r="196">
      <c r="A196" s="2" t="inlineStr">
        <is>
          <t>2026-09-01</t>
        </is>
      </c>
      <c r="B196" s="2" t="inlineStr">
        <is>
          <t>mlb-2026-09-01-det-min</t>
        </is>
      </c>
      <c r="C196" s="8" t="n">
        <v>0.4299</v>
      </c>
      <c r="D196" s="8" t="n">
        <v>0.4778</v>
      </c>
      <c r="E196" s="9">
        <f>ABS(C196-D196)*100</f>
        <v/>
      </c>
      <c r="F196" s="2" t="n">
        <v>1</v>
      </c>
      <c r="G196" s="10">
        <f>(C196-F196)^2</f>
        <v/>
      </c>
      <c r="H196" s="10">
        <f>(D196-F196)^2</f>
        <v/>
      </c>
      <c r="I196" s="2" t="inlineStr">
        <is>
          <t>premise_changed</t>
        </is>
      </c>
    </row>
    <row r="197">
      <c r="A197" s="2" t="inlineStr">
        <is>
          <t>2026-09-01</t>
        </is>
      </c>
      <c r="B197" s="2" t="inlineStr">
        <is>
          <t>mlb-2026-09-01-sf-pit</t>
        </is>
      </c>
      <c r="C197" s="8" t="n">
        <v>0.6009</v>
      </c>
      <c r="D197" s="8" t="n">
        <v>0.6093</v>
      </c>
      <c r="E197" s="9">
        <f>ABS(C197-D197)*100</f>
        <v/>
      </c>
      <c r="F197" s="2" t="n">
        <v>1</v>
      </c>
      <c r="G197" s="10">
        <f>(C197-F197)^2</f>
        <v/>
      </c>
      <c r="H197" s="10">
        <f>(D197-F197)^2</f>
        <v/>
      </c>
      <c r="I197" s="2" t="inlineStr">
        <is>
          <t>clean</t>
        </is>
      </c>
    </row>
    <row r="198">
      <c r="A198" s="2" t="inlineStr">
        <is>
          <t>2026-09-01</t>
        </is>
      </c>
      <c r="B198" s="2" t="inlineStr">
        <is>
          <t>mlb-2026-09-01-sd-cin</t>
        </is>
      </c>
      <c r="C198" s="8" t="n">
        <v>0.447</v>
      </c>
      <c r="D198" s="8" t="n">
        <v>0.4422</v>
      </c>
      <c r="E198" s="9">
        <f>ABS(C198-D198)*100</f>
        <v/>
      </c>
      <c r="F198" s="2" t="n">
        <v>1</v>
      </c>
      <c r="G198" s="10">
        <f>(C198-F198)^2</f>
        <v/>
      </c>
      <c r="H198" s="10">
        <f>(D198-F198)^2</f>
        <v/>
      </c>
      <c r="I198" s="2" t="inlineStr">
        <is>
          <t>clean</t>
        </is>
      </c>
    </row>
    <row r="199">
      <c r="A199" s="2" t="inlineStr">
        <is>
          <t>2026-09-01</t>
        </is>
      </c>
      <c r="B199" s="2" t="inlineStr">
        <is>
          <t>mlb-2026-09-01-atl-wsh</t>
        </is>
      </c>
      <c r="C199" s="8" t="n">
        <v>0.3975</v>
      </c>
      <c r="D199" s="8" t="n">
        <v>0.3714</v>
      </c>
      <c r="E199" s="9">
        <f>ABS(C199-D199)*100</f>
        <v/>
      </c>
      <c r="F199" s="2" t="n">
        <v>1</v>
      </c>
      <c r="G199" s="10">
        <f>(C199-F199)^2</f>
        <v/>
      </c>
      <c r="H199" s="10">
        <f>(D199-F199)^2</f>
        <v/>
      </c>
      <c r="I199" s="2" t="inlineStr">
        <is>
          <t>clean</t>
        </is>
      </c>
    </row>
    <row r="200">
      <c r="A200" s="2" t="inlineStr">
        <is>
          <t>2026-09-01</t>
        </is>
      </c>
      <c r="B200" s="2" t="inlineStr">
        <is>
          <t>mlb-2026-09-01-sea-bos</t>
        </is>
      </c>
      <c r="C200" s="8" t="n">
        <v>0.5351</v>
      </c>
      <c r="D200" s="8" t="n">
        <v>0.5211</v>
      </c>
      <c r="E200" s="9">
        <f>ABS(C200-D200)*100</f>
        <v/>
      </c>
      <c r="F200" s="2" t="n">
        <v>0</v>
      </c>
      <c r="G200" s="10">
        <f>(C200-F200)^2</f>
        <v/>
      </c>
      <c r="H200" s="10">
        <f>(D200-F200)^2</f>
        <v/>
      </c>
      <c r="I200" s="2" t="inlineStr">
        <is>
          <t>clean</t>
        </is>
      </c>
    </row>
    <row r="201">
      <c r="A201" s="2" t="inlineStr">
        <is>
          <t>2026-09-01</t>
        </is>
      </c>
      <c r="B201" s="2" t="inlineStr">
        <is>
          <t>mlb-2026-09-01-mil-chc</t>
        </is>
      </c>
      <c r="C201" s="8" t="n">
        <v>0.453</v>
      </c>
      <c r="D201" s="8" t="n">
        <v>0.539</v>
      </c>
      <c r="E201" s="9">
        <f>ABS(C201-D201)*100</f>
        <v/>
      </c>
      <c r="F201" s="2" t="n">
        <v>0</v>
      </c>
      <c r="G201" s="10">
        <f>(C201-F201)^2</f>
        <v/>
      </c>
      <c r="H201" s="10">
        <f>(D201-F201)^2</f>
        <v/>
      </c>
      <c r="I201" s="2" t="inlineStr">
        <is>
          <t>phantom_anchor</t>
        </is>
      </c>
    </row>
    <row r="202">
      <c r="A202" s="2" t="inlineStr">
        <is>
          <t>2026-09-01</t>
        </is>
      </c>
      <c r="B202" s="2" t="inlineStr">
        <is>
          <t>mlb-2026-09-01-nyy-laa</t>
        </is>
      </c>
      <c r="C202" s="8" t="n">
        <v>0.3726</v>
      </c>
      <c r="D202" s="8" t="n">
        <v>0.3648</v>
      </c>
      <c r="E202" s="9">
        <f>ABS(C202-D202)*100</f>
        <v/>
      </c>
      <c r="F202" s="2" t="n">
        <v>0</v>
      </c>
      <c r="G202" s="10">
        <f>(C202-F202)^2</f>
        <v/>
      </c>
      <c r="H202" s="10">
        <f>(D202-F202)^2</f>
        <v/>
      </c>
      <c r="I202" s="2" t="inlineStr">
        <is>
          <t>clean</t>
        </is>
      </c>
    </row>
    <row r="203">
      <c r="A203" s="2" t="inlineStr">
        <is>
          <t>2026-09-01</t>
        </is>
      </c>
      <c r="B203" s="2" t="inlineStr">
        <is>
          <t>mlb-2026-09-01-stl-lad</t>
        </is>
      </c>
      <c r="C203" s="8" t="n">
        <v>0.6229</v>
      </c>
      <c r="D203" s="8" t="n">
        <v>0.638</v>
      </c>
      <c r="E203" s="9">
        <f>ABS(C203-D203)*100</f>
        <v/>
      </c>
      <c r="F203" s="2" t="n">
        <v>0</v>
      </c>
      <c r="G203" s="10">
        <f>(C203-F203)^2</f>
        <v/>
      </c>
      <c r="H203" s="10">
        <f>(D203-F203)^2</f>
        <v/>
      </c>
      <c r="I203" s="2" t="inlineStr">
        <is>
          <t>clean</t>
        </is>
      </c>
    </row>
    <row r="204">
      <c r="A204" s="2" t="inlineStr">
        <is>
          <t>2026-09-01</t>
        </is>
      </c>
      <c r="B204" s="2" t="inlineStr">
        <is>
          <t>mlb-2026-09-01-phi-az</t>
        </is>
      </c>
      <c r="C204" s="8" t="n">
        <v>0.447</v>
      </c>
      <c r="D204" s="8" t="n">
        <v>0.4454</v>
      </c>
      <c r="E204" s="9">
        <f>ABS(C204-D204)*100</f>
        <v/>
      </c>
      <c r="F204" s="2" t="n">
        <v>0</v>
      </c>
      <c r="G204" s="10">
        <f>(C204-F204)^2</f>
        <v/>
      </c>
      <c r="H204" s="10">
        <f>(D204-F204)^2</f>
        <v/>
      </c>
      <c r="I204" s="2" t="inlineStr">
        <is>
          <t>clean</t>
        </is>
      </c>
    </row>
    <row r="205">
      <c r="A205" s="2" t="inlineStr">
        <is>
          <t>2026-09-01</t>
        </is>
      </c>
      <c r="B205" s="2" t="inlineStr">
        <is>
          <t>mlb-2026-09-01-bal-col</t>
        </is>
      </c>
      <c r="C205" s="8" t="n">
        <v>0.4318</v>
      </c>
      <c r="D205" s="8" t="n">
        <v>0.4251</v>
      </c>
      <c r="E205" s="9">
        <f>ABS(C205-D205)*100</f>
        <v/>
      </c>
      <c r="F205" s="2" t="n">
        <v>1</v>
      </c>
      <c r="G205" s="10">
        <f>(C205-F205)^2</f>
        <v/>
      </c>
      <c r="H205" s="10">
        <f>(D205-F205)^2</f>
        <v/>
      </c>
      <c r="I205" s="2" t="inlineStr">
        <is>
          <t>clean</t>
        </is>
      </c>
    </row>
    <row r="206">
      <c r="A206" s="2" t="inlineStr">
        <is>
          <t>2026-09-01</t>
        </is>
      </c>
      <c r="B206" s="2" t="inlineStr">
        <is>
          <t>mlb-2026-09-01-nym-tb</t>
        </is>
      </c>
      <c r="C206" s="8" t="n">
        <v>0.5397</v>
      </c>
      <c r="D206" s="8" t="n">
        <v>0.5578</v>
      </c>
      <c r="E206" s="9">
        <f>ABS(C206-D206)*100</f>
        <v/>
      </c>
      <c r="F206" s="2" t="n">
        <v>1</v>
      </c>
      <c r="G206" s="10">
        <f>(C206-F206)^2</f>
        <v/>
      </c>
      <c r="H206" s="10">
        <f>(D206-F206)^2</f>
        <v/>
      </c>
      <c r="I206" s="2" t="inlineStr">
        <is>
          <t>clean</t>
        </is>
      </c>
    </row>
    <row r="207">
      <c r="A207" s="2" t="inlineStr">
        <is>
          <t>2026-09-03</t>
        </is>
      </c>
      <c r="B207" s="2" t="inlineStr">
        <is>
          <t>lig1-2026-09-03-lil-tou</t>
        </is>
      </c>
      <c r="C207" s="8" t="n">
        <v>0.2669</v>
      </c>
      <c r="D207" s="8" t="n">
        <v>0.4121</v>
      </c>
      <c r="E207" s="9">
        <f>ABS(C207-D207)*100</f>
        <v/>
      </c>
      <c r="F207" s="2" t="n">
        <v>0</v>
      </c>
      <c r="G207" s="10">
        <f>(C207-F207)^2</f>
        <v/>
      </c>
      <c r="H207" s="10">
        <f>(D207-F207)^2</f>
        <v/>
      </c>
      <c r="I207" s="2" t="inlineStr">
        <is>
          <t>clean</t>
        </is>
      </c>
    </row>
    <row r="208">
      <c r="A208" s="2" t="inlineStr">
        <is>
          <t>2026-09-03</t>
        </is>
      </c>
      <c r="B208" s="2" t="inlineStr">
        <is>
          <t>laliga-2026-09-03-cel-rso</t>
        </is>
      </c>
      <c r="C208" s="8" t="n">
        <v>0.4844</v>
      </c>
      <c r="D208" s="8" t="n">
        <v>0.6465</v>
      </c>
      <c r="E208" s="9">
        <f>ABS(C208-D208)*100</f>
        <v/>
      </c>
      <c r="F208" s="2" t="n">
        <v>1</v>
      </c>
      <c r="G208" s="10">
        <f>(C208-F208)^2</f>
        <v/>
      </c>
      <c r="H208" s="10">
        <f>(D208-F208)^2</f>
        <v/>
      </c>
      <c r="I208" s="2" t="inlineStr">
        <is>
          <t>clean</t>
        </is>
      </c>
    </row>
    <row r="209">
      <c r="A209" s="2" t="inlineStr">
        <is>
          <t>2026-09-03</t>
        </is>
      </c>
      <c r="B209" s="2" t="inlineStr">
        <is>
          <t>cdb-2026-09-03-int-gre</t>
        </is>
      </c>
      <c r="C209" s="8" t="n">
        <v>0.3774</v>
      </c>
      <c r="D209" s="8" t="n">
        <v>0.5365</v>
      </c>
      <c r="E209" s="9">
        <f>ABS(C209-D209)*100</f>
        <v/>
      </c>
      <c r="F209" s="2" t="n">
        <v>1</v>
      </c>
      <c r="G209" s="10">
        <f>(C209-F209)^2</f>
        <v/>
      </c>
      <c r="H209" s="10">
        <f>(D209-F209)^2</f>
        <v/>
      </c>
      <c r="I209" s="2" t="inlineStr">
        <is>
          <t>clean</t>
        </is>
      </c>
    </row>
    <row r="210">
      <c r="A210" s="2" t="inlineStr">
        <is>
          <t>2026-09-03</t>
        </is>
      </c>
      <c r="B210" s="2" t="inlineStr">
        <is>
          <t>atp-2026-09-03-mon-tie</t>
        </is>
      </c>
      <c r="C210" s="8" t="n">
        <v>0.8121</v>
      </c>
      <c r="D210" s="8" t="n">
        <v>0.8139999999999999</v>
      </c>
      <c r="E210" s="9">
        <f>ABS(C210-D210)*100</f>
        <v/>
      </c>
      <c r="F210" s="2" t="n">
        <v>1</v>
      </c>
      <c r="G210" s="10">
        <f>(C210-F210)^2</f>
        <v/>
      </c>
      <c r="H210" s="10">
        <f>(D210-F210)^2</f>
        <v/>
      </c>
      <c r="I210" s="2" t="inlineStr">
        <is>
          <t>clean</t>
        </is>
      </c>
    </row>
    <row r="211">
      <c r="A211" s="2" t="inlineStr">
        <is>
          <t>2026-09-03</t>
        </is>
      </c>
      <c r="B211" s="2" t="inlineStr">
        <is>
          <t>atp-2026-09-03-zve-hal</t>
        </is>
      </c>
      <c r="C211" s="8" t="n">
        <v>0.1526</v>
      </c>
      <c r="D211" s="8" t="n">
        <v>0.1479</v>
      </c>
      <c r="E211" s="9">
        <f>ABS(C211-D211)*100</f>
        <v/>
      </c>
      <c r="F211" s="2" t="n">
        <v>0</v>
      </c>
      <c r="G211" s="10">
        <f>(C211-F211)^2</f>
        <v/>
      </c>
      <c r="H211" s="10">
        <f>(D211-F211)^2</f>
        <v/>
      </c>
      <c r="I211" s="2" t="inlineStr">
        <is>
          <t>clean</t>
        </is>
      </c>
    </row>
    <row r="212">
      <c r="A212" s="2" t="inlineStr">
        <is>
          <t>2026-09-03</t>
        </is>
      </c>
      <c r="B212" s="2" t="inlineStr">
        <is>
          <t>cfb-2026-09-03-col-gt</t>
        </is>
      </c>
      <c r="C212" s="8" t="n">
        <v>0.6858</v>
      </c>
      <c r="D212" s="8" t="n">
        <v>0.6974</v>
      </c>
      <c r="E212" s="9">
        <f>ABS(C212-D212)*100</f>
        <v/>
      </c>
      <c r="F212" s="2" t="n">
        <v>0</v>
      </c>
      <c r="G212" s="10">
        <f>(C212-F212)^2</f>
        <v/>
      </c>
      <c r="H212" s="10">
        <f>(D212-F212)^2</f>
        <v/>
      </c>
      <c r="I212" s="2" t="inlineStr">
        <is>
          <t>clean</t>
        </is>
      </c>
    </row>
    <row r="213">
      <c r="A213" s="2" t="inlineStr">
        <is>
          <t>2026-09-03</t>
        </is>
      </c>
      <c r="B213" s="2" t="inlineStr">
        <is>
          <t>mlb-2026-09-03-bos-bal</t>
        </is>
      </c>
      <c r="C213" s="8" t="n">
        <v>0.4546</v>
      </c>
      <c r="D213" s="8" t="n">
        <v>0.4654</v>
      </c>
      <c r="E213" s="9">
        <f>ABS(C213-D213)*100</f>
        <v/>
      </c>
      <c r="F213" s="2" t="n">
        <v>0</v>
      </c>
      <c r="G213" s="10">
        <f>(C213-F213)^2</f>
        <v/>
      </c>
      <c r="H213" s="10">
        <f>(D213-F213)^2</f>
        <v/>
      </c>
      <c r="I213" s="2" t="inlineStr">
        <is>
          <t>clean</t>
        </is>
      </c>
    </row>
    <row r="214">
      <c r="A214" s="2" t="inlineStr">
        <is>
          <t>2026-09-03</t>
        </is>
      </c>
      <c r="B214" s="2" t="inlineStr">
        <is>
          <t>mlb-2026-09-03-mil-chc</t>
        </is>
      </c>
      <c r="C214" s="8" t="n">
        <v>0.4885</v>
      </c>
      <c r="D214" s="8" t="n">
        <v>0.4885</v>
      </c>
      <c r="E214" s="9">
        <f>ABS(C214-D214)*100</f>
        <v/>
      </c>
      <c r="F214" s="2" t="n">
        <v>1</v>
      </c>
      <c r="G214" s="10">
        <f>(C214-F214)^2</f>
        <v/>
      </c>
      <c r="H214" s="10">
        <f>(D214-F214)^2</f>
        <v/>
      </c>
      <c r="I214" s="2" t="inlineStr">
        <is>
          <t>clean</t>
        </is>
      </c>
    </row>
    <row r="215">
      <c r="A215" s="2" t="inlineStr">
        <is>
          <t>2026-09-03</t>
        </is>
      </c>
      <c r="B215" s="2" t="inlineStr">
        <is>
          <t>mlb-2026-09-03-mia-kc</t>
        </is>
      </c>
      <c r="C215" s="8" t="n">
        <v>0.4735</v>
      </c>
      <c r="D215" s="8" t="n">
        <v>0.4838</v>
      </c>
      <c r="E215" s="9">
        <f>ABS(C215-D215)*100</f>
        <v/>
      </c>
      <c r="F215" s="2" t="n">
        <v>1</v>
      </c>
      <c r="G215" s="10">
        <f>(C215-F215)^2</f>
        <v/>
      </c>
      <c r="H215" s="10">
        <f>(D215-F215)^2</f>
        <v/>
      </c>
      <c r="I215" s="2" t="inlineStr">
        <is>
          <t>clean</t>
        </is>
      </c>
    </row>
    <row r="216">
      <c r="A216" s="2" t="inlineStr">
        <is>
          <t>2026-09-03</t>
        </is>
      </c>
      <c r="B216" s="2" t="inlineStr">
        <is>
          <t>mlb-2026-09-03-tb-tex</t>
        </is>
      </c>
      <c r="C216" s="8" t="n">
        <v>0.46</v>
      </c>
      <c r="D216" s="8" t="n">
        <v>0.4546</v>
      </c>
      <c r="E216" s="9">
        <f>ABS(C216-D216)*100</f>
        <v/>
      </c>
      <c r="F216" s="2" t="n">
        <v>1</v>
      </c>
      <c r="G216" s="10">
        <f>(C216-F216)^2</f>
        <v/>
      </c>
      <c r="H216" s="10">
        <f>(D216-F216)^2</f>
        <v/>
      </c>
      <c r="I216" s="2" t="inlineStr">
        <is>
          <t>clean</t>
        </is>
      </c>
    </row>
    <row r="217">
      <c r="A217" s="2" t="inlineStr">
        <is>
          <t>2026-09-03</t>
        </is>
      </c>
      <c r="B217" s="2" t="inlineStr">
        <is>
          <t>mlb-2026-09-03-ath-sea</t>
        </is>
      </c>
      <c r="C217" s="8" t="n">
        <v>0.6521</v>
      </c>
      <c r="D217" s="8" t="n">
        <v>0.6552</v>
      </c>
      <c r="E217" s="9">
        <f>ABS(C217-D217)*100</f>
        <v/>
      </c>
      <c r="F217" s="2" t="n">
        <v>0</v>
      </c>
      <c r="G217" s="10">
        <f>(C217-F217)^2</f>
        <v/>
      </c>
      <c r="H217" s="10">
        <f>(D217-F217)^2</f>
        <v/>
      </c>
      <c r="I217" s="2" t="inlineStr">
        <is>
          <t>clean</t>
        </is>
      </c>
    </row>
    <row r="218">
      <c r="A218" s="2" t="inlineStr">
        <is>
          <t>2026-09-03</t>
        </is>
      </c>
      <c r="B218" s="2" t="inlineStr">
        <is>
          <t>mlb-2026-09-03-stl-lad</t>
        </is>
      </c>
      <c r="C218" s="8" t="n">
        <v>0.735</v>
      </c>
      <c r="D218" s="8" t="n">
        <v>0.7311</v>
      </c>
      <c r="E218" s="9">
        <f>ABS(C218-D218)*100</f>
        <v/>
      </c>
      <c r="F218" s="2" t="n">
        <v>1</v>
      </c>
      <c r="G218" s="10">
        <f>(C218-F218)^2</f>
        <v/>
      </c>
      <c r="H218" s="10">
        <f>(D218-F218)^2</f>
        <v/>
      </c>
      <c r="I218" s="2" t="inlineStr">
        <is>
          <t>clean</t>
        </is>
      </c>
    </row>
    <row r="219">
      <c r="A219" s="2" t="inlineStr">
        <is>
          <t>2026-09-04</t>
        </is>
      </c>
      <c r="B219" s="2" t="inlineStr">
        <is>
          <t>ligamx-2026-09-04-pac-jua</t>
        </is>
      </c>
      <c r="C219" s="8" t="n">
        <v>0.2605</v>
      </c>
      <c r="D219" s="8" t="n">
        <v>0.3856</v>
      </c>
      <c r="E219" s="9">
        <f>ABS(C219-D219)*100</f>
        <v/>
      </c>
      <c r="F219" s="2" t="n">
        <v>0</v>
      </c>
      <c r="G219" s="10">
        <f>(C219-F219)^2</f>
        <v/>
      </c>
      <c r="H219" s="10">
        <f>(D219-F219)^2</f>
        <v/>
      </c>
      <c r="I219" s="2" t="inlineStr">
        <is>
          <t>clean</t>
        </is>
      </c>
    </row>
    <row r="220">
      <c r="A220" s="2" t="inlineStr">
        <is>
          <t>2026-09-04</t>
        </is>
      </c>
      <c r="B220" s="2" t="inlineStr">
        <is>
          <t>cfb-2026-09-04-sjsu-emu</t>
        </is>
      </c>
      <c r="C220" s="8" t="n">
        <v>0.5746</v>
      </c>
      <c r="D220" s="8" t="n">
        <v>0.5655</v>
      </c>
      <c r="E220" s="9">
        <f>ABS(C220-D220)*100</f>
        <v/>
      </c>
      <c r="F220" s="2" t="n">
        <v>0</v>
      </c>
      <c r="G220" s="10">
        <f>(C220-F220)^2</f>
        <v/>
      </c>
      <c r="H220" s="10">
        <f>(D220-F220)^2</f>
        <v/>
      </c>
      <c r="I220" s="2" t="inlineStr">
        <is>
          <t>clean</t>
        </is>
      </c>
    </row>
    <row r="221">
      <c r="A221" s="2" t="inlineStr">
        <is>
          <t>2026-09-04</t>
        </is>
      </c>
      <c r="B221" s="2" t="inlineStr">
        <is>
          <t>mlb-2026-09-04-atl-phi</t>
        </is>
      </c>
      <c r="C221" s="8" t="n">
        <v>0.5011</v>
      </c>
      <c r="D221" s="8" t="n">
        <v>0.5095</v>
      </c>
      <c r="E221" s="9">
        <f>ABS(C221-D221)*100</f>
        <v/>
      </c>
      <c r="F221" s="2" t="n">
        <v>0</v>
      </c>
      <c r="G221" s="10">
        <f>(C221-F221)^2</f>
        <v/>
      </c>
      <c r="H221" s="10">
        <f>(D221-F221)^2</f>
        <v/>
      </c>
      <c r="I221" s="2" t="inlineStr">
        <is>
          <t>clean</t>
        </is>
      </c>
    </row>
    <row r="222">
      <c r="A222" s="2" t="inlineStr">
        <is>
          <t>2026-09-04</t>
        </is>
      </c>
      <c r="B222" s="2" t="inlineStr">
        <is>
          <t>mlb-2026-09-04-stl-col</t>
        </is>
      </c>
      <c r="C222" s="8" t="n">
        <v>0.4393</v>
      </c>
      <c r="D222" s="8" t="n">
        <v>0.4543</v>
      </c>
      <c r="E222" s="9">
        <f>ABS(C222-D222)*100</f>
        <v/>
      </c>
      <c r="F222" s="2" t="n">
        <v>0</v>
      </c>
      <c r="G222" s="10">
        <f>(C222-F222)^2</f>
        <v/>
      </c>
      <c r="H222" s="10">
        <f>(D222-F222)^2</f>
        <v/>
      </c>
      <c r="I222" s="2" t="inlineStr">
        <is>
          <t>clean</t>
        </is>
      </c>
    </row>
    <row r="223">
      <c r="A223" s="2" t="inlineStr">
        <is>
          <t>2026-09-04</t>
        </is>
      </c>
      <c r="B223" s="2" t="inlineStr">
        <is>
          <t>mlb-2026-09-04-nyy-sd</t>
        </is>
      </c>
      <c r="C223" s="8" t="n">
        <v>0.4474</v>
      </c>
      <c r="D223" s="8" t="n">
        <v>0.4505</v>
      </c>
      <c r="E223" s="9">
        <f>ABS(C223-D223)*100</f>
        <v/>
      </c>
      <c r="F223" s="2" t="n">
        <v>1</v>
      </c>
      <c r="G223" s="10">
        <f>(C223-F223)^2</f>
        <v/>
      </c>
      <c r="H223" s="10">
        <f>(D223-F223)^2</f>
        <v/>
      </c>
      <c r="I223" s="2" t="inlineStr">
        <is>
          <t>clean</t>
        </is>
      </c>
    </row>
    <row r="224">
      <c r="A224" s="2" t="inlineStr">
        <is>
          <t>2026-09-04</t>
        </is>
      </c>
      <c r="B224" s="2" t="inlineStr">
        <is>
          <t>bund-2026-09-04-kol-stu</t>
        </is>
      </c>
      <c r="C224" s="8" t="n">
        <v>0.6424</v>
      </c>
      <c r="D224" s="8" t="n">
        <v>0.7692</v>
      </c>
      <c r="E224" s="9">
        <f>ABS(C224-D224)*100</f>
        <v/>
      </c>
      <c r="F224" s="2" t="n">
        <v>1</v>
      </c>
      <c r="G224" s="10">
        <f>(C224-F224)^2</f>
        <v/>
      </c>
      <c r="H224" s="10">
        <f>(D224-F224)^2</f>
        <v/>
      </c>
      <c r="I224" s="2" t="inlineStr">
        <is>
          <t>clean</t>
        </is>
      </c>
    </row>
    <row r="225">
      <c r="A225" s="2" t="inlineStr">
        <is>
          <t>2026-09-04</t>
        </is>
      </c>
      <c r="B225" s="2" t="inlineStr">
        <is>
          <t>laliga-2026-09-04-rma-bet</t>
        </is>
      </c>
      <c r="C225" s="8" t="n">
        <v>0.115</v>
      </c>
      <c r="D225" s="8" t="n">
        <v>0.2485</v>
      </c>
      <c r="E225" s="9">
        <f>ABS(C225-D225)*100</f>
        <v/>
      </c>
      <c r="F225" s="2" t="n">
        <v>1</v>
      </c>
      <c r="G225" s="10">
        <f>(C225-F225)^2</f>
        <v/>
      </c>
      <c r="H225" s="10">
        <f>(D225-F225)^2</f>
        <v/>
      </c>
      <c r="I225" s="2" t="inlineStr">
        <is>
          <t>comparator_skew</t>
        </is>
      </c>
    </row>
    <row r="226">
      <c r="A226" s="2" t="inlineStr">
        <is>
          <t>2026-09-04</t>
        </is>
      </c>
      <c r="B226" s="2" t="inlineStr">
        <is>
          <t>atp-2026-09-04-she-sha</t>
        </is>
      </c>
      <c r="C226" s="8" t="n">
        <v>0.2264</v>
      </c>
      <c r="D226" s="8" t="n">
        <v>0.2262</v>
      </c>
      <c r="E226" s="9">
        <f>ABS(C226-D226)*100</f>
        <v/>
      </c>
      <c r="F226" s="2" t="n">
        <v>0</v>
      </c>
      <c r="G226" s="10">
        <f>(C226-F226)^2</f>
        <v/>
      </c>
      <c r="H226" s="10">
        <f>(D226-F226)^2</f>
        <v/>
      </c>
      <c r="I226" s="2" t="inlineStr">
        <is>
          <t>clean</t>
        </is>
      </c>
    </row>
    <row r="227">
      <c r="A227" s="2" t="inlineStr">
        <is>
          <t>2026-09-04</t>
        </is>
      </c>
      <c r="B227" s="2" t="inlineStr">
        <is>
          <t>atp-2026-09-04-vac-tia</t>
        </is>
      </c>
      <c r="C227" s="8" t="n">
        <v>0.6382</v>
      </c>
      <c r="D227" s="8" t="n">
        <v>0.6511</v>
      </c>
      <c r="E227" s="9">
        <f>ABS(C227-D227)*100</f>
        <v/>
      </c>
      <c r="F227" s="2" t="n">
        <v>1</v>
      </c>
      <c r="G227" s="10">
        <f>(C227-F227)^2</f>
        <v/>
      </c>
      <c r="H227" s="10">
        <f>(D227-F227)^2</f>
        <v/>
      </c>
      <c r="I227" s="2" t="inlineStr">
        <is>
          <t>clean</t>
        </is>
      </c>
    </row>
    <row r="228">
      <c r="A228" s="2" t="inlineStr">
        <is>
          <t>2026-09-04</t>
        </is>
      </c>
      <c r="B228" s="2" t="inlineStr">
        <is>
          <t>wta-2026-09-04-svi-kal</t>
        </is>
      </c>
      <c r="C228" s="8" t="n">
        <v>0.2874</v>
      </c>
      <c r="D228" s="8" t="n">
        <v>0.2816</v>
      </c>
      <c r="E228" s="9">
        <f>ABS(C228-D228)*100</f>
        <v/>
      </c>
      <c r="F228" s="2" t="n">
        <v>1</v>
      </c>
      <c r="G228" s="10">
        <f>(C228-F228)^2</f>
        <v/>
      </c>
      <c r="H228" s="10">
        <f>(D228-F228)^2</f>
        <v/>
      </c>
      <c r="I228" s="2" t="inlineStr">
        <is>
          <t>clean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cols>
    <col width="34" customWidth="1" min="1" max="1"/>
    <col width="16" customWidth="1" min="2" max="2"/>
  </cols>
  <sheetData>
    <row r="1">
      <c r="A1" s="11" t="inlineStr">
        <is>
          <t>SharpOds Tracker — Dashboard</t>
        </is>
      </c>
    </row>
    <row r="2">
      <c r="A2" s="12" t="inlineStr">
        <is>
          <t>Every value below is a formula over Bets/FairLines: add or settle rows there and this sheet recomputes.</t>
        </is>
      </c>
    </row>
    <row r="5">
      <c r="A5" s="13" t="inlineStr">
        <is>
          <t>Tickets settled</t>
        </is>
      </c>
      <c r="B5" s="14">
        <f>COUNTIFS(Bets!D:D,"ticket",Bets!H:H,"&lt;&gt;pending")</f>
        <v/>
      </c>
    </row>
    <row r="6">
      <c r="A6" s="13" t="inlineStr">
        <is>
          <t>Ticket wins</t>
        </is>
      </c>
      <c r="B6" s="14">
        <f>COUNTIFS(Bets!D:D,"ticket",Bets!H:H,"won")</f>
        <v/>
      </c>
    </row>
    <row r="7">
      <c r="A7" s="13" t="inlineStr">
        <is>
          <t>Win rate</t>
        </is>
      </c>
      <c r="B7" s="15">
        <f>IFERROR(B6/B5,0)</f>
        <v/>
      </c>
    </row>
    <row r="8">
      <c r="A8" s="13" t="inlineStr">
        <is>
          <t>Total staked</t>
        </is>
      </c>
      <c r="B8" s="16">
        <f>SUMIFS(Bets!G:G,Bets!D:D,"ticket",Bets!H:H,"&lt;&gt;pending")</f>
        <v/>
      </c>
    </row>
    <row r="9">
      <c r="A9" s="13" t="inlineStr">
        <is>
          <t>Net P&amp;L</t>
        </is>
      </c>
      <c r="B9" s="17">
        <f>SUM(Bets!I:I)</f>
        <v/>
      </c>
    </row>
    <row r="10">
      <c r="A10" s="13" t="inlineStr">
        <is>
          <t>ROI on stakes</t>
        </is>
      </c>
      <c r="B10" s="15">
        <f>IFERROR(B9/B8,0)</f>
        <v/>
      </c>
    </row>
    <row r="11">
      <c r="A11" s="13" t="inlineStr">
        <is>
          <t>Mean CLV (no-vig), tickets</t>
        </is>
      </c>
      <c r="B11" s="15">
        <f>IFERROR(AVERAGEIFS(Bets!K:K,Bets!D:D,"ticket"),0)</f>
        <v/>
      </c>
    </row>
    <row r="12">
      <c r="A12" s="13" t="inlineStr">
        <is>
          <t>Limit orders unfilled</t>
        </is>
      </c>
      <c r="B12" s="14">
        <f>COUNTIF(Bets!D:D,"order_unfilled")</f>
        <v/>
      </c>
    </row>
    <row r="13">
      <c r="A13" s="13" t="inlineStr">
        <is>
          <t>Open orders / pending</t>
        </is>
      </c>
      <c r="B13" s="14">
        <f>COUNTIF(Bets!H:H,"pending")</f>
        <v/>
      </c>
    </row>
    <row r="14">
      <c r="A14" s="13" t="inlineStr">
        <is>
          <t>Decisions settled</t>
        </is>
      </c>
      <c r="B14" s="14">
        <f>COUNTIF(Bets!M:M,"worked")+COUNTIF(Bets!M:M,"miss")</f>
        <v/>
      </c>
    </row>
    <row r="15">
      <c r="A15" s="13" t="inlineStr">
        <is>
          <t>Process validated (worked)</t>
        </is>
      </c>
      <c r="B15" s="14">
        <f>COUNTIF(Bets!M:M,"worked")</f>
        <v/>
      </c>
    </row>
    <row r="16">
      <c r="A16" s="13" t="inlineStr">
        <is>
          <t>Process misses</t>
        </is>
      </c>
      <c r="B16" s="14">
        <f>COUNTIF(Bets!M:M,"miss")</f>
        <v/>
      </c>
    </row>
    <row r="17">
      <c r="A17" s="13" t="inlineStr">
        <is>
          <t>Fair lines graded</t>
        </is>
      </c>
      <c r="B17" s="14">
        <f>COUNT(FairLines!E:E)</f>
        <v/>
      </c>
    </row>
    <row r="18">
      <c r="A18" s="13" t="inlineStr">
        <is>
          <t>Mean |fair − close| (pts)</t>
        </is>
      </c>
      <c r="B18" s="18">
        <f>IFERROR(AVERAGE(FairLines!E:E),0)</f>
        <v/>
      </c>
    </row>
    <row r="19">
      <c r="A19" s="13" t="inlineStr">
        <is>
          <t>Max |fair − close| (pts)</t>
        </is>
      </c>
      <c r="B19" s="18">
        <f>IFERROR(MAX(FairLines!E:E),0)</f>
        <v/>
      </c>
    </row>
    <row r="20">
      <c r="A20" s="13" t="inlineStr">
        <is>
          <t>Clean-source mean error (pts)</t>
        </is>
      </c>
      <c r="B20" s="18">
        <f>IFERROR(AVERAGEIFS(FairLines!E:E,FairLines!I:I,"clean"),0)</f>
        <v/>
      </c>
    </row>
    <row r="21">
      <c r="A21" s="13" t="inlineStr">
        <is>
          <t>Flagged-source mean error (pts)</t>
        </is>
      </c>
      <c r="B21" s="18">
        <f>IFERROR(AVERAGEIFS(FairLines!E:E,FairLines!I:I,"&lt;&gt;clean"),0)</f>
        <v/>
      </c>
    </row>
    <row r="22">
      <c r="A22" s="13" t="inlineStr">
        <is>
          <t>Brier — SharpOds fair</t>
        </is>
      </c>
      <c r="B22" s="19">
        <f>IFERROR(AVERAGE(FairLines!G:G),0)</f>
        <v/>
      </c>
    </row>
    <row r="23">
      <c r="A23" s="13" t="inlineStr">
        <is>
          <t>Brier — closing line</t>
        </is>
      </c>
      <c r="B23" s="19">
        <f>IFERROR(AVERAGE(FairLines!H:H),0)</f>
        <v/>
      </c>
    </row>
    <row r="24">
      <c r="A24" s="13" t="inlineStr">
        <is>
          <t>Brier — coin flip (reference)</t>
        </is>
      </c>
      <c r="B24" s="19">
        <f>0.25</f>
        <v/>
      </c>
    </row>
    <row r="27">
      <c r="A27" s="20" t="inlineStr">
        <is>
          <t>What worked / what didn't (from the decision log)</t>
        </is>
      </c>
    </row>
    <row r="28">
      <c r="A28" s="21" t="inlineStr">
        <is>
          <t>[WORKED] Full 5-game slate: Favorites went 2-3; both most-likely sides blew 6+ run leads; every listed price was -EV vs fair (avg -3.3%). Passing saved money.</t>
        </is>
      </c>
    </row>
    <row r="29">
      <c r="A29" s="21" t="inlineStr">
        <is>
          <t>[WORKED] BAL @ DET: Line closed 1.56-1.59, moving away; discipline held. Tigers lost 9-10 in 12 - a chased fill would have lost.</t>
        </is>
      </c>
    </row>
    <row r="30">
      <c r="A30" s="21" t="inlineStr">
        <is>
          <t>[WORKED] CHC @ STL: Labeled unverified staleness and not executed; the close proved it was quote drift, not free money.</t>
        </is>
      </c>
    </row>
    <row r="31">
      <c r="A31" s="21" t="inlineStr">
        <is>
          <t>[WORKED] NYY @ CHC: Close CHC -140 landed on the sportsbook consensus; Polymarket 52c was the stale outlier (NYY won 2-0 as a +130 dog - vs the close that bet was -7% EV luck). Refusal correct.</t>
        </is>
      </c>
    </row>
    <row r="32">
      <c r="A32" s="21" t="inlineStr">
        <is>
          <t>[WORKED] PHI @ BAL: PHI never traded above 2.06 (target 2.10). Close no-vig PHI 0.467: even at target the bet was -2% vs close - not filling saved money. SportsGrid model lean (PHI 54%) was the wrong side per the close.</t>
        </is>
      </c>
    </row>
    <row r="33">
      <c r="A33" s="21" t="inlineStr">
        <is>
          <t>[WORKED] PIT @ CIN: PIT -120 to -136 all day, never near the 1.966 target. Close no-vig PIT 0.564: a 1.966 fill would have been ~+11% EV vs close - right side, market never paid the price.</t>
        </is>
      </c>
    </row>
    <row r="34">
      <c r="A34" s="21" t="inlineStr">
        <is>
          <t>[WORKED] PIT @ CIN: CIN never traded above +106 (2.06) - 17 cents short of the 2.231 bar; the '+120 one source' quote was never corroborated. CIN lost 1-4, so no fill dodged a loss; vs the no-vig close a 2.231 fill would still have been +EV (right side, market never paid).</t>
        </is>
      </c>
    </row>
    <row r="35">
      <c r="A35" s="21" t="inlineStr">
        <is>
          <t>[WORKED] NYY @ CHC: Refusal correct, with a twist: the close landed NYY road-favorite (-122 to -132; CHC +102/+105) - the OPPOSITE of our 'books CHC 1.62' quote, which no closing book corroborates. That quote was stale/wrong (flagged for provenance). Polymarket NYY 54c was actually the consensus side. CHC won 5-2 anyway - neither side's value story survived. Conflict rule worked for the right reason: garbage inputs were refused, not priced.</t>
        </is>
      </c>
    </row>
    <row r="36">
      <c r="A36" s="21" t="inlineStr">
        <is>
          <t>[WORKED] WSH @ ATL: Braves 8-3. Polymarket-only board stayed unpriced per the 0.45-sharpness demotion; no book close collected for this game.</t>
        </is>
      </c>
    </row>
    <row r="37">
      <c r="A37" s="21" t="inlineStr">
        <is>
          <t>[WORKED] PHI @ BAL: Fill ambiguous: consensus close +119 (2.19) never reached the 2.225 bar, but SportsGrid reported 'BAL +125 at other books' pregame, which would have filled. Graded no-fill on the consensus board we price from. BAL lost 0-5, so neither grading forfeits a win; a phantom fill would have lost. Single-book-anchor caveat from pre-registration stands.</t>
        </is>
      </c>
    </row>
    <row r="38">
      <c r="A38" s="21" t="inlineStr">
        <is>
          <t>[WORKED] SEA @ POR (MLS): NO BET - user report (the only fill oracle; pages 403 post-hoc): the prediction-market ask had moved above the 45c stand-down line (engine minimum 2.23) by bet time, so per the slip's own fill rule the order did not fire. Paper grade of the 2.273 listed snapshot: Portland won 2-1 and the number beat the bet365 close 2.05/3.80/3.00 by +10.9% raw / +4.5% no-vig - the edge was real at the snapshot, and it decayed before execution. Standing down was correct: at the moved ask the +2.5% EV bar was no longer met.</t>
        </is>
      </c>
    </row>
    <row r="39">
      <c r="A39" s="21" t="inlineStr">
        <is>
          <t>[WORKED] PIT @ CIN: Refusal validated on PROCESS: the book-vs-Polymarket gap (CIN 1.676 vs 55c) never visibly converged before first pitch - the market stayed unpriceable by our rule at every observable snapshot. CIN won 10-2 (Burns 6 IP 9 K) and the close landed -148, but outcome isn't the verdict; the conflict rule is now 4-for-4 on process. Pre-registered under the conflict rule, graded at the close.</t>
        </is>
      </c>
    </row>
    <row r="40">
      <c r="A40" s="21" t="inlineStr">
        <is>
          <t>[WORKED] STL @ NYY (7:05 PM ET Mon): NOT FILLED - and saved by it. Every dated Monday price moved AWAY from the 1.599 trigger (NYY -186 Sunday -&gt; -195/-210/-217/-235 across books at close); then NYY lost 7-13 (Burleson 3 HR off Schlittler). Our fair (64.1%) sat above a close (~65%) that the result embarrassed - calibration fine, outcome brutal, order discipline kept the stake at zero.</t>
        </is>
      </c>
    </row>
    <row r="41">
      <c r="A41" s="21" t="inlineStr">
        <is>
          <t>[WORKED] SFG @ TEX (8:05 PM ET Mon): NOT FILLED - TEX never reached plus-money (observed -105 to -125 across books; +103 trigger unreached), then lost 1-5 with five errors behind Webb's 6 shutout IP. Second unfilled loser dodged on the day.</t>
        </is>
      </c>
    </row>
    <row r="42">
      <c r="A42" s="21" t="inlineStr">
        <is>
          <t>[WORKED] SDP @ AZ (9:40 PM ET Mon): Rejection fully validated: the real Monday market was near pick'em with ARI a slight HOME favorite (BetMGM/DK SDP -102 / ARI -118; Yahoo -113) - the garbled 'SD -185/ARI +737' board was wrong on side AND magnitude. ARI won 5-1. Garbage in, nothing out: correct.</t>
        </is>
      </c>
    </row>
    <row r="43">
      <c r="A43" s="21" t="inlineStr">
        <is>
          <t>[WORKED] ATH @ CIN (start time unverified; typical 12:35 PM ET getaway): NOT FILLED: CIN drifted our way (-171 open -&gt; -158 at first pitch) but never reached the -147 (1.679) bar; best documented 1.633. CIN won 6-5, and a 1.679 fill would have carried +2.8% raw CLV vs the close - right side, right price demand, market never paid it. Reverse line movement toward the road dog noted pregame; the bar held anyway.</t>
        </is>
      </c>
    </row>
    <row r="44">
      <c r="A44" s="21" t="inlineStr">
        <is>
          <t>[WORKED] Dinamo Minsk @ Braga (UECL Q3 leg 1; kickoff ~3:00-3:45 PM ET assumed): NOT FILLED: Braga sat 1.10-1.11 everywhere pre-match; the 1.141 re-verified quote never existed. Braga won 1-0. The demotion logic validated exactly: on extreme favorites the only 'fills' available are cross-book noise, and even that noise stayed under 4 cents.</t>
        </is>
      </c>
    </row>
    <row r="45">
      <c r="A45" s="21" t="inlineStr">
        <is>
          <t>[WORKED] ARI @ CAR, Hall of Fame Game (8:00 PM ET Thu, Canton - neutral site): NOT FILLED by one cent of juice: ARI +1.5 reached ~-115 game-day vs the -114 bar - and then LOST (CAR won by exactly 3 on the final play). The near-miss dodged a loser; fill discipline is net positive on the card (two would-have-won fills never reached target, the one would-have-lost fill missed by a cent).</t>
        </is>
      </c>
    </row>
    <row r="46">
      <c r="A46" s="21" t="inlineStr">
        <is>
          <t>[WORKED] ARI @ CAR (HOF Game): Suppression validated on process with an ironic outcome: the suppressed leg (ARI +1.5 -&gt; +7.5) would have back-doored a win (lost by 3), but the game produced 63 points against a 34.5 total - preseason margins have NO key-number structure, which is precisely why the leg had no business existing. Note-only; engine gating change still deferred (Walters rule).</t>
        </is>
      </c>
    </row>
    <row r="47">
      <c r="A47" s="21" t="inlineStr">
        <is>
          <t>[WORKED] Shnaider vs Swiatek, WTA Toronto QF (7:00 PM ET Mon): NOT FILLED: no book ever printed 1.403+ (-285/-300 everywhere). Swiatek won 6-2 6-1 - a missed winner, which is the cost side of the same discipline that has dodged three losers. The bar cuts both ways; that is the design.</t>
        </is>
      </c>
    </row>
    <row r="48">
      <c r="A48" s="21" t="inlineStr">
        <is>
          <t>[WORKED] COL @ AZ (Chase Field, evening - exact time TBC): NOT FILLED: line moved AWAY from the order all day (-179 -&gt; -190s; the -164 outlier board never reached -160). Game in progress at grading - outcome irrelevant to an unfilled order.</t>
        </is>
      </c>
    </row>
    <row r="49">
      <c r="A49" s="21" t="inlineStr">
        <is>
          <t>[WORKED] KC @ LAD (10:10 PM ET Mon - Skubal home debut): VALIDATED, with the sharpest twist yet: the definitive Monday close was LAD -325/-330 (FanDuel + 'other oddsmakers' + Polymarket 74c all agree near 76%) - the -160 board we saw was itself a stale/erroneous print. The conflict was real, and this time the BOOK leg was the garbage and the prediction market was near truth (mirror of the Aug-1 stale 'CHC 1.62'). The rule doesn't care which source lies - it refuses the disagreement. LAD needed a 7th-inning rally to win 6-5. 7-for-7 on refusals/flags.</t>
        </is>
      </c>
    </row>
    <row r="50">
      <c r="A50" s="21" t="inlineStr">
        <is>
          <t>[WORKED] CLE @ DET (6:40 PM ET Tue, Comerica): NOT FILLED - the market ran the other way, hard: DET +113 Monday night -&gt; -120/-121 favorite at first pitch. No +116 ever printed. DET won 6-4, so another would-have-won missed - but the swing's SIZE is the lesson: an overnight board can embed a different starting pitcher than game-day reality (Drew Anderson started). Listed-pitcher rule: every future order names its assumed starters, and a change voids the premise (Skenes-scratch lesson, Jul 30, finally codified).</t>
        </is>
      </c>
    </row>
    <row r="51">
      <c r="A51" s="21" t="inlineStr">
        <is>
          <t>[WORKED] TB @ ATH (9:40 PM ET Tue): NOT FILLED - TB shortened -146 -&gt; -180 and won 12-4. Fourth straight unfilled order whose side won. Tempting to call the bar too high; the ledger says otherwise - the only two orders that DID fill both carried negative CLV and went 1-1. Unfilled winners are the visible cost of refusing bad prices; filled losers are the invisible cost of chasing. No parameter change (Walters rule).</t>
        </is>
      </c>
    </row>
    <row r="52">
      <c r="A52" s="21" t="inlineStr">
        <is>
          <t>[WORKED] KC @ LAD (10:10 PM ET Tue): Book LAD -285 vs Polymarket 72c: nearly agreeing today, but cross-source best prices still net -0.99% hold - the rule is binary and fires the same on small conflicts as wide ones (that binariness is the Cubs-3.7pt lesson). 6th application. Monday's refusal grades at its close next cycle alongside this one. || SETTLED: close LAD -275 (~70-71% no-vig) vs Polymarket 72c - the sources converged AT the close, meaning no exploitable edge ever existed. LAD won 5-4. Refusals now 8-for-8.</t>
        </is>
      </c>
    </row>
    <row r="53">
      <c r="A53" s="21" t="inlineStr">
        <is>
          <t>[WORKED] NYM @ ATL (7:15 PM ET Wed; PITCHERS: Thornton vs Mahle): NOT FILLED - the board moved the wrong way all day (-156 -&gt; -158/-175 close); -150 never printed. ATL won 6-3: the FIFTH straight unfilled order whose side won. Pattern reading: our fairs are directionally right and the market agrees too fast to pay our price - which is what near-parity Brier with the close predicts. The bar stays (Walters rule); the edge has to come from being earlier, not looser.</t>
        </is>
      </c>
    </row>
    <row r="54">
      <c r="A54" s="21" t="inlineStr">
        <is>
          <t>[WORKED] ATP Montreal SF: Jodar vs Nakashima (6:00 PM ET Wed): FILL CONDITION MET VIA CROSS-BOOK SHOPPING - AND WON. +200 (&gt;= the +197 trigger) was genuinely available at a book pre-match while Dimers' board showed +188; Nakashima won 7-6(3) 6-4. At the 2.969 floor vs the 2.94 close: raw CLV +1.0%, no-vig -1.7% - the first fill in this ledger with POSITIVE RAW CLV and the best fill-CLV recorded (prior fills: -5.4% and -3.1% no-vig), precisely because it came from price dispersion across books (allowed) rather than line drift (forbidden). The drift-vs-shopping distinction now has favorable evidence on the shopping side. Paper grade, stake 0 - backup order, user bets headline only.</t>
        </is>
      </c>
    </row>
    <row r="55">
      <c r="A55" s="21" t="inlineStr">
        <is>
          <t>[WORKED] SEA @ NYY (7:05 PM ET Wed; PITCHERS: Miller vs Warren): NOT FILLED - opened -119 and firmed to -131; the -112 trigger never printed. NYY won 10-5 anyway (sixth unfilled winner if you count this one alongside the ATL streak).</t>
        </is>
      </c>
    </row>
    <row r="56">
      <c r="A56" s="21" t="inlineStr">
        <is>
          <t>[WORKED] MIL @ LAD (10:10 PM ET Thu; PITCHERS: Drohan vs Sasaki): NOT FILLED - EdgeBets' 8-book closing recap tops MIL out at +129 (range +115/+129, consensus +123/+125); the +136 trigger never printed anywhere. Both listed pitchers started (Shane Drohan vs Sasaki) so the premise held; the price just never came. MIL won 5-4 on a 3-run 9th - the SEVENTH unfilled order whose side won. The bar stays (Walters rule): the two orders that ever DID fill via drift carried the ledger's worst CLV.</t>
        </is>
      </c>
    </row>
    <row r="57">
      <c r="A57" s="21" t="inlineStr">
        <is>
          <t>[WORKED] PHI @ MIN, Field of Dreams (7:30 PM ET; Nola vs Bradley; RAIN RISK): NOT FILLED - Over sat -118/-120 all day and never reached the -107 trigger. Game went UNDER (8 runs): the FIRST unfilled order whose side LOST, i.e. the bar's first visible counterfactual save (~$40 at quarter-Kelly). The unfilled-order ledger is now 7 winners, 1 loser - and the loser is the one the bar refused to pay for. First graded third-party total model (SportsLine 60.2% over): WRONG. Rain clause never triggered - played as scheduled.</t>
        </is>
      </c>
    </row>
    <row r="58">
      <c r="A58" s="21" t="inlineStr">
        <is>
          <t>[WORKED] PHI @ MIN, Field of Dreams (same game): NOT FILLED - PHI ranged -102/-104 all day and closed ~-103 (SBR); the +106 trigger needed plus-money that never printed. PHI won 7-1 (Schwarber 2 HR) - the EIGHTH unfilled order graded, 7 of whose sides won.</t>
        </is>
      </c>
    </row>
    <row r="59">
      <c r="A59" s="21" t="inlineStr">
        <is>
          <t>[WORKED] KC @ LAA (9:38 PM ET Sat; PITCHERS: Dobnak vs Detmers): NOT FILLED - KC never evidenced past +135 (trigger +147) and Polymarket sat pinned at the 41c board price all day; no 40.5c ask printed. Fill oracle open: if your execution says otherwise, report and I regrade. COUNTERFACTUAL SAVE #2, and the biggest yet: KC was SHUT OUT 1-0 (Detmers 8 scoreless, 11 K). The closest-to-live order in ledger history would have lost at any fill price. Dobnak/Detmers premise held.</t>
        </is>
      </c>
    </row>
    <row r="60">
      <c r="A60" s="21" t="inlineStr">
        <is>
          <t>[WORKED] SD @ CLE (7:10 PM ET Sat; ASSUMED pitchers Vasquez-SD vs Cantillo-CLE, side-assignment UNVERIFIED): VOID ON THE PREMISE CLAUSE, and unfilled anyway: San Diego ran a Wandy Peralta OPENER instead of listed probable Vasquez (Cantillo did start for CLE), and the written clause - 'void unless the pairing is confirmed at bet time' - fired exactly as designed. The price also ran away (+118 -&gt; +105, never +127). SD lost 6-1: save #3 on the same card.</t>
        </is>
      </c>
    </row>
    <row r="61">
      <c r="A61" s="21" t="inlineStr">
        <is>
          <t>[WORKED] STL @ CHC (2:20 PM ET Sat; PITCHERS: McGreevy vs Boyd): NOT FILLED - CHC shortened hard from -166 to -174/-185 closes; -149 never printed. McGreevy/Boyd started as listed - and Boyd (8-1) was tagged for three Baez HRs in an 8-4 loss. Save #4... third of THREE on this card alone. Every Saturday order's side lost; the bar refused all of them.</t>
        </is>
      </c>
    </row>
    <row r="62">
      <c r="A62" s="21" t="inlineStr">
        <is>
          <t>[WORKED] SEA @ MIL (7:40 PM ET Tue, American Family Field; PITCHERS: Miller vs Harrison): NOT FILLED - the trigger was -131 or better and the market moved the WRONG way from the first print: -148 early -&gt; -150 open -&gt; -159/-160/-165 -&gt; -168 close. No book ever came within 17 cents of the trigger; no drift-through, so no re-price question. MIL then won 22-0, so the side won - but the close (61.6% no-vig) steamed PAST our 58.2% fair, meaning even a -148 take would have been the slow side of a sharp move our own model layer (60.7% MIL) partly anticipated. CORRECTED RUNNING TALLY of every order that never filled (incl. the voided SD premise): sides are now 9W-4L across 13 (Swiatek, CIN, DET, TB, ATL, NYY, MIL 8/13, PHI 8/13, MIL 8/18 won; FoD Over, KC, CHC, SD lost) - earlier notes' 7W counts undercounted by one, fixed here. Fill oracle stands: report an execution and I regrade.</t>
        </is>
      </c>
    </row>
    <row r="63">
      <c r="A63" s="21" t="inlineStr">
        <is>
          <t>[WORKED] Mirassol @ LDU Quito, Libertadores R16 leg 2 (6:00 PM ET Thu, Quito, 2850m; agg 1-1): NOT FILLED - no named book was ever pinned at 1.682+ (an unattributed ESPN-visible -145 = 1.690 existed but Pinnacle sat 1.55 simultaneously; the live-single-book-only condition was written for exactly this). COUNTERFACTUAL SAVE #5: the 90-min result was 0-0 - a fill would have LOST even as LDU advanced on penalties. Pricing lesson logged: the 1.60 averaged anchor sat between a 1.55 sharp and a 1.69 soft quote, so the order's 'edge' was partly anchor softness - averaged trios stay consensus-c and live-only forever. Never-filled sides: 9W-5L at this point in the pass.</t>
        </is>
      </c>
    </row>
    <row r="64">
      <c r="A64" s="21" t="inlineStr">
        <is>
          <t>[WORKED] Dream @ Sparks, WNBA (10:00 PM ET Thu, Crypto.com Arena): VOID ON THE PREMISE CLAUSE, pre-game and result-independent: Brionna Jones was ruled OUT for the Dream (left leg, third straight miss) on final injury reports dated to this game - the pre-registered condition 'void if B. Jones or Reese is OUT' fired exactly as written. (Reese played; the 'questionable' chatter traced to July articles and was discarded on date discipline.) Second premise-clause void in a week (SD Padres opener was the first) - the clause class is earning its keep. No stake, no fill, no grade.</t>
        </is>
      </c>
    </row>
    <row r="65">
      <c r="A65" s="21" t="inlineStr">
        <is>
          <t>[WORKED] 49ers @ Chargers, NFL preseason Wk 2 (10:00 PM ET Thu, SoFi): NOT FILLED on post-ship evidence - SF only SHORTENED after our card (board 1.769 -&gt; DK close 1.80... vs LAC flipping to dog the line moved through -118 to -125; an SF +102 quote exists but traces to early-week, pre-card). No post-ship 1.879+ at a named book evidenced; fill oracle open. SF won 41-17 - a would-have-won missed at the bar's usual price of discipline.</t>
        </is>
      </c>
    </row>
    <row r="66">
      <c r="A66" s="21" t="inlineStr">
        <is>
          <t>[WORKED] America @ Juarez, Liga MX J5 (11:00 PM ET Fri, Estadio Olimpico Benito Juarez): NOT FILLED - the 1.945 trigger sat above the ENTIRE market all day (best anywhere: a 1.85 aggregate leg; consensus close ~1.76-1.77) and the market shortened toward America, who won 2-1. A would-have-won at a price that never existed - the bar's usual cost. Our Codere 1.82 anchor graded honest (slightly above close); the scary Bet365 -241 capture from Friday night was a bad aggregator read, not the market.</t>
        </is>
      </c>
    </row>
    <row r="67">
      <c r="A67" s="21" t="inlineStr">
        <is>
          <t>[WORKED] Coventry @ Arsenal, EPL opener (3:00 PM ET Fri, Emirates): NOT FILLED - best named-book price all day was DK -475 (1.211); the 1.224 trigger never printed (FanDuel closed -550). Arsenal won 3-0: a would-have-won that never offered the price. The extreme-favorite demotion was correct: the market's ceiling sat below our bar all day.</t>
        </is>
      </c>
    </row>
    <row r="68">
      <c r="A68" s="21" t="inlineStr">
        <is>
          <t>[WORKED] Coventry @ Arsenal, same match - total 2.5: NOT FILLED - Over 2.5 closed -176/-181 (1.552-1.568); the 1.662 trigger never evidenced. It landed (3 goals) and SportsLine's 64% graded RIGHT on its first EPL outing - a model note for the file, priced away by the market. Never-filled sides after this pass: 12W-5L across 17.</t>
        </is>
      </c>
    </row>
    <row r="69">
      <c r="A69" s="21" t="inlineStr">
        <is>
          <t>[WORKED] Jets @ Steelers, NFL preseason Wk 2 (7:00 PM ET Fri, Acrisure): FILL CONDITION MET AT NAMED BOOKS - AND WON. The 'drift toward PIT' we flagged at ship was the OPENER (PIT -3, Jets 2.47); named books held Jets above the 1.804 trigger all day and DK closed Jets -122 (1.82). Jets won 17-0. Paper grade at the 1.804 floor: raw CLV -0.9%, no-vig -4.8% - roughly flat, because the conservative floor sits at the close; anything nearer the open was strongly positive. Second paper fill in ledger history; both cashed. Lesson: our unnamed-book preseason snapshot (1.70) was the soft side of a market that was never there - named-book conditions turn soft snapshots into real prices. Stake 0 - backup order, user bets headline only.</t>
        </is>
      </c>
    </row>
    <row r="70">
      <c r="A70" s="21" t="inlineStr">
        <is>
          <t>[WORKED] Atlas @ Cruz Azul, Liga MX J5 (11:00 PM ET Sat, Estadio Banorte/Azteca): STOOD DOWN PER DRIFT-CANCEL - and the rule saved the ticket. The board drifted from Caliente -205/Codere -200 THROUGH the 1.569 trigger (a Betway 1.62 shows on Aug-22 comparison pages, timing unverified; Dimers' -190 board does NOT clear). The slip's printed rule covers exactly this: a drift-through is a changed premise - re-price and stand down. The drift was the market fading Cruz Azul, and Cruz Azul lost 0-2 at home. CONDITIONAL SAVE #7 (the drift-taker loses). FILL ORACLE OPEN: if you actually took 1.62, report it and I regrade as a loss at your stake (Braves precedent). Drift-throughs are now 0-for-3 as bets (Liberty, Braves, this).</t>
        </is>
      </c>
    </row>
    <row r="71">
      <c r="A71" s="21" t="inlineStr">
        <is>
          <t>[WORKED] Hernandez vs Rodrigues, UFC FN Sacramento main event (~10:15 PM ET walk): NOT FILLED - the first UFC order's line steamed the wrong way all week (DK -166 -&gt; Hard Rock -185 -&gt; DK -198 close); -145 never existed. COUNTERFACTUAL SAVE #6: Rodrigues won the fight by UD at +164 - a fill would have lost. The steam was information, again.</t>
        </is>
      </c>
    </row>
    <row r="72">
      <c r="A72" s="21" t="inlineStr">
        <is>
          <t>[WORKED] Hamilton @ Toronto, CFL Wk 12 (7:00 PM ET Sat, BMO Field): NOT FILLED - no named book ever better than -225 vs the -187 trigger (the unattributed -218 we demoted was close to true). Argos won 39-20, a would-have-won at a price that never existed. Note: the WEATHER CLAUSE actually TRIGGERED (thunderstorm-delayed start) - had anything filled, the printed clause voided it anyway. Clause class: 3-for-3 firing correctly when conditions hit.</t>
        </is>
      </c>
    </row>
    <row r="73">
      <c r="A73" s="21" t="inlineStr">
        <is>
          <t>[WORKED] Boca Juniors @ Racing Club, Clausura fecha 6 (8:30 PM ET Sun, El Cilindro): NOT FILLED - no named book ever printed Boca near +177 (best found: bplay 2.60, Betsson 2.55, bet365 DNB 1.62 implying ~2.4-2.6); the trigger sat ~8% above the whole named market. COUNTERFACTUAL SAVE #7: the match ended 1-1, so any filled 90-minute ticket loses - and the draw-heavy H2H that set the high bar was exactly the risk that landed. Never-filled orders' sides now 14W-8L across 22.</t>
        </is>
      </c>
    </row>
    <row r="74">
      <c r="A74" s="21" t="inlineStr">
        <is>
          <t>[WORKED] PIT @ SD (9:40 PM ET Mon, Petco; PITCHERS: Ashcraft vs Robbie Ray): WON - the first tier bet cashes. PIT 3-2 in 12; $35 at 2.00 returns $70 (+$35 at the reference stake - report your actual book/price/stake and I restate real P&amp;L). Ashcraft/Ray premise held; bet365 +100 documented at the latest pre-game snapshot. CLV at the split close: raw +4.8% vs the -110/-110 consensus, no-vig +0.0% (book range -3.3% to +1.3%) - we took the best price on the board and the market ended where we bet it. TIER SCOREBOARD: 1 settled, 1-0, mean no-vig CLV ~0.0%; 14 more to the pre-registered rollback checkpoint.</t>
        </is>
      </c>
    </row>
    <row r="75">
      <c r="A75" s="21" t="inlineStr">
        <is>
          <t>[WORKED] PHI @ SEA (9:40 PM ET Mon, T-Mobile Park; Wheeler vs Gilbert): STOOD DOWN PER DRIFT-CANCEL - SAVE #8. A named-book -108 print IS evidenced intraday (NBC/DK-network content), but it was a TRANSIENT CROSS: the board sat -115 below the trigger, touched -108, and closed back at -115/-118. Taxonomy now codified: a market STANDING above the trigger all day = legitimate fill (Jets precedent); a market that transiently CROSSES the trigger = drift-through, re-price and stand down (Liberty/Braves/Cruz Azul/this - drift-throughs now 0-for-4 as bets). PHI lost 2-9 (Wheeler 5-run 1st); a -108 fill was -1.6% no-vig CLV AND a full-stake loss. Fill oracle open: if you took -108, report it and I regrade.</t>
        </is>
      </c>
    </row>
    <row r="76">
      <c r="A76" s="21" t="inlineStr">
        <is>
          <t>[WORKED] CHC @ AZ (9:40 PM ET Tue, Chase Field; Holmes vs Pfaadt): STOOD DOWN PER DRIFT-CANCEL - and this one is the rule's first counterfactual MISS. DK printed AZ +101 (&gt;= the 2.005 trigger) pre-game, but the board moved TOWARD the Cubs everywhere else (-105/-105 open -&gt; BetMGM -110s, SI CHC -112): a drift-through, not a standing price. Re-priced at the drifted number the blend gave -0.15% - below the model bar - so the stand-down was rule-correct. AZ then won 5-4 on a walk-off. Drift-throughs as hypothetical bets: 1-for-5 (Liberty, Braves, Cruz Azul, PHI lost; this won). The rule keeps its job on the aggregate; the miss is logged, not hidden.</t>
        </is>
      </c>
    </row>
    <row r="77">
      <c r="A77" s="21" t="inlineStr">
        <is>
          <t>[WORKED] WAS @ PHX (10:00 PM ET Tue, Footprint Center): NOT FILLED - the only -128 print was an unnamed aggregator leg; named books ran -130/-135. The fires-only-at-named-books condition held. Mystics won 94-84: a would-have-won at a price never verified to exist. Never-filled sides: 16W-9L across 26 after this card.</t>
        </is>
      </c>
    </row>
    <row r="78">
      <c r="A78" s="21" t="inlineStr">
        <is>
          <t>[WORKED] PIT @ SD (9:40 PM ET Tue, Petco; SKENES vs Michael King): FILLED AT A STANDING CROSS-BOOK PRICE - AND WON. BetMGM's own game blog quoted PIT +105 (2.05 &gt;= the 2.028 trigger) while the FanDuel anchor sat -104/-102: the Jets shape (standing-above, not a transient cross), so the fill is legitimate. PIT won 1-0 behind Skenes. Paper grade at the 2.028 floor: raw CLV +0.9%, no-vig -2.4%. numberFire's 55.8% lean graded RIGHT. Stake 0 - backup order, user bets headline only. TIER SCOREBOARD: 2 settled (Mon ticket + this), 2-0 on results, but no-vig CLV is Mon ~0.0% / this -2.4% - mean ~-1.2%, NEGATIVE. That is the pre-registered rollback metric: if it is still &lt;0 at 15 settled, both tiers revert to 2.5%. 13 to the checkpoint.</t>
        </is>
      </c>
    </row>
    <row r="79">
      <c r="A79" s="21" t="inlineStr">
        <is>
          <t>[WORKED] Brewers @ Mets, MLB (7:10 PM ET Wed, Citi Field): NOT FILLED - the trigger price is not evidenced as ever standing. Best named-book MIL price found anywhere pre-game: DraftKings -149 (1.671), four cents short of the -145 trigger; BetRivers held -165 and no Polymarket ask at 59c or lower surfaced. MIL won 8-1 - a would-have-won at a price that never existed (never-filled sides now ~17W-9L across 27). Footnote that matters: Dustin May exited after ONE PITCH (comebacker off the scapula). A fill would have survived the premise (he started), but the win would have been carried entirely by Gasser's relief work - the listed-pitcher clause is doing real risk work even on nights it technically holds.</t>
        </is>
      </c>
    </row>
    <row r="80">
      <c r="A80" s="21" t="inlineStr">
        <is>
          <t>[WORKED] Toluca vs Austin FC, Leagues Cup QF (8:30 PM ET Wed, Harrison NJ - neutral): REFUSAL VALIDATED - and the conflict resolved toward the sportsbook, as our sharpness demotion assumes. An independent named pre-game trio surfaced post-hoc (Toluca -185 / +300 / +425) devigging to ~59.6% Toluca - 5 points from BetUS's 65%, 10 from Kalshi's 50c. Toluca won 2-0 IN THE 90 (Helinho pen 53', Diaz 90+7'; Austin down a man from 40'). One sample, but both the price check and the result say the exchange cents were the off number. The 15-point venue gap was real and unpriceable at bet time; refusing was the only correct position. Kept from the same card: Valkyries -909 (demoted) won by 25 - demotion cost nothing, as designed: it prices risk, not outcomes.</t>
        </is>
      </c>
    </row>
    <row r="81">
      <c r="A81" s="21" t="inlineStr">
        <is>
          <t>[WORKED] Alouettes @ Blue Bombers, CFL Wk 13 (8:30 PM ET Fri, Princess Auto Stadium, Winnipeg): WON 44-28 - the third tier ticket cashes, and this one BEAT THE CLOSE decisively: 26c entry vs a book close that held +240 (raw CLV +13.1%) and a no-vig fair of ~28.2% (no-vig CLV +2.7%) while the spread moved toward Montreal all day. $23 at 3.846 returned $88.46 (+$65.46 at the reference stake - report your actual venue/price/stake and I restate real P&amp;L; Polymarket's indexed print held WPG 26c). The Timbers stand-down line never triggered. TIER SCOREBOARD: 3 settled, 3-0, no-vig CLVs 0.0% / -2.4% / +2.7% (power-devig no-vig, same method as the engine - the raw +13.1% shrinks because power devig assigns most of a longshot pair's juice to the dog) - mean +0.1%, positive for the first time but barely; 12 to the rollback checkpoint.</t>
        </is>
      </c>
    </row>
    <row r="82">
      <c r="A82" s="21" t="inlineStr">
        <is>
          <t>[WORKED] Red Sox @ Yankees, MLB (7:05 PM ET Fri, Yankee Stadium): NOT FILLED - no named book ever printed NYY -139 or better (evidenced range -148 to -173) and Polymarket stood at 59c (a Covers column even flagged taking NYY 'up to 59 cents' - consistent with our one-cent miss). NYY won 1-0: another would-have-won at a price that never existed. Never-filled sides ~18W-9L.</t>
        </is>
      </c>
    </row>
    <row r="83">
      <c r="A83" s="21" t="inlineStr">
        <is>
          <t>[WORKED] Orioles @ Athletics, MLB (9:40 PM ET Fri, Sutter Health Park, West Sacramento): NOT FILLED - AND THE CONDITION SAVED A LOSS. Aggregator picks-tables printed ATH +119/+120, but no NAMED book was ever behind those numbers and FanDuel (the named board) sat +100, under the +104 trigger. The fires-only-on-a-named-book-print condition held - and ATH LOST 3-4 in 10 innings, so an aggregator-print fill would have been a full-stake loser. This is the named-book condition's cleanest save yet (distinct from the 8 drift-cancel saves). Never-filled sides ~18W-10L across 29.</t>
        </is>
      </c>
    </row>
    <row r="84">
      <c r="A84" s="21" t="inlineStr">
        <is>
          <t>[WORKED] Dodgers @ Tigers, MLB (6:40 PM ET Fri, Comerica Park) - the Skubal marquee: CONFLICT REFUSAL on the game everyone wanted: Skubal's revenge start. Two named books agree (BetRivers -225, FanDuel -215, ~67-69% LAD) while Polymarket sells LAD at 64c on $112K of volume - a 4-6 point venue fight whose best-price synthetic hold is NEGATIVE (-1.29%). The rule (degraded + negative cross-hold = unpriceable, never an arb) is 4-for-4 lifetime and was validated 48h ago by Toluca. POLICY QUESTION PRE-REGISTERED, not acted on: this shape differs from past conflicts - BOTH named books agree and only the exchange is off, and the candidate bet (LAD at PM 64c) is AT the outlier venue in the DIRECTION of the anchor consensus (+5.0% EV if the books are right, -0.6% if PM is right - positive under any mixture). Settle must record which venue was right here AND in the other three refusals (HOU@NYM, SEA@TOR, TEX@MIL); if the books-agree-exchange-off subtype keeps grading book-side-right, that is the ledger evidence a refinement needs. No parameter moves tonight (Walters rule). || SETTLED: the gap was REAL and the BOOKS were the better venue. FanDuel closed ~-215/+180 (no-vig LAD ~65.7%) vs Polymarket's 63-64c - a genuine ~2-point cross-venue disagreement that never converged. LAD won 2-1 behind Skubal (6 IP, 1 R in his Comerica return; under 7.5 cashed - our registered under lean RIGHT). Policy-question tally opens: books-agree-exchange-off subtype 1-0 books. A PM-side LAD bet at 64c would have won and carried positive CLV vs the book close - logged as the cost side of the refusal, per the honesty standard.</t>
        </is>
      </c>
    </row>
    <row r="85">
      <c r="A85" s="21" t="inlineStr">
        <is>
          <t>[WORKED] HOU@NYM, SEA@TOR, TEX@MIL - three more venue conflicts, one card: Grouped refusal, engine-fired on all three: HOU@NYM (board HOU -128 vs Polymarket 51/50 pick'em on thin $59K - hold -0.70%), SEA@TOR (FanDuel -172 vs BET99 -155 one-sided - hold -0.45%; numberFire 53% TOR also far under the market), TEX@MIL (FanDuel -205 vs scoresandstats -181, 24 cents - hold -0.52%). Four refusals in one night is the dispersion mandate working as designed: hunting second venues finds gaps, and most gaps are somebody's bad quote, not value. Settle records the truth venue per game for the refusal-calibration ledger. || SETTLED, venue verdicts: TEX@MIL - FanDuel RIGHT (close clustered -190/-205; scoresandstats -181 was the stale outlier; MIL won 6-1). SEA@TOR - FanDuel RIGHT (close -161/-179 with FD dead-center; BET99 -155 sat outside the whole range; TOR won 8-1). HOU@NYM - THE EXCHANGE WAS RIGHT: the -128 board was stale and the market closed -105/-106, converging exactly to Polymarket's 51/50 (HOU won 3-1 - outcome noise; the close is the verdict). Running venue-calibration: named books 3, exchange 1 - and the exchange's win came against an unnamed consensus board, not against fresh named books. The sharpness hierarchy (named &gt; consensus &gt; exchange) survives the night.</t>
        </is>
      </c>
    </row>
    <row r="86">
      <c r="A86" s="21" t="inlineStr">
        <is>
          <t>[WORKED] Phillies @ D-backs, MLB (9:40 PM ET Mon, Chase Field): NOT FILLED BY ONE CENT - AND THE CLAUSE SAVED A LOSER AGAIN. Best named-book print all day: DraftKings +108 (2.08), one cent under the +109 trigger; FanDuel +100, consensus +105/+106; a lone '+109' mention appears in a snippet that simultaneously says 'best odds +103' - no verified standing print. AZ then LOST 1-2 (Nola out-dueled Pfaadt), so a fill would have graded L at ~flat CLV vs the +105/+106 close. That is the second consecutive card where the named-book/one-cent discipline refused a bet that loses (Fri ATH, Mon AZ). numberFire's 52.9% AZ graded WRONG. Never-filled sides ~18W-11L across 30 - the bars keep refusing the right ones lately.</t>
        </is>
      </c>
    </row>
    <row r="87">
      <c r="A87" s="21" t="inlineStr">
        <is>
          <t>[WORKED] Giants @ Pirates, MLB (6:40 PM ET Tue, PNC Park) - Skenes vs Webb: NOT FILLED - no named book ever printed PIT -145 or better; the dated band was -158 (Athlon) to -162 (Predictem/DK -161). PIT then won 13-12 on a walk-off THROWING ERROR after blowing a six-run lead with Skenes shelled for 5 - a would-have-won that would have spent nine innings looking like a loser. The resting-order design priced the fill, not the outcome; a fill at the trigger would have carried ~+4% raw CLV vs the -161 close, which is exactly why the trigger sits where it sits. Never-filled sides ~19W-11L across 31.</t>
        </is>
      </c>
    </row>
    <row r="88">
      <c r="A88" s="21" t="inlineStr">
        <is>
          <t>[WORKED] Marlins @ Royals, MLB (7:40 PM ET Tue, Kauffman Stadium): CONFLICT REFUSAL, engine-fired at -7.41% cross-hold: BetRivers prints KC -117 while YouWager prints MIA -160 - 50+ cents apart, the favorite FLIPS between boards. Per the post-phantom-anchor hierarchy (adopted after the MIL -196 grade), a conflict this size is encoded intact and refused, never resolved by hand - one of these boards is fiction and settle will record WHICH, feeding the calibration that already reads named-book &gt; exchange &gt; unnamed-article. DK splits (86% ML handle on KC) lean toward BetRivers being live, but handle is color, not truth. || SETTLED: KC closed the favorite at -117 (BetRivers) / -120 (DraftKings, sharps 66% bets / 88% dollars). The YouWager 'MIA -160' board was FICTION - a 40-cent inversion of the real market that appears only on that blog. Refusal validated on process; MIA won 6-3 as the +100 dog (outcome noise - the close is the verdict). Venue-truth ledger: named books 4, exchange 2, blog boards 0-for-3 this week.</t>
        </is>
      </c>
    </row>
    <row r="89">
      <c r="A89" s="21" t="inlineStr">
        <is>
          <t>[WORKED] Colorado @ Georgia Tech, CFB Week 1 (8:00 PM ET Thu, Bobby Dodd Stadium, ESPN): NOT FILLED BY THREE CENTS - AND THE SIDE WON 14-13. Best named print all day: DraftKings +220 (3.20) against the +223 (3.23) trigger; FanDuel and bet365 +205; the unnamed +240 was the pre-ship opener. The market moved TOWARD Colorado all day on sharp money (DK: 10% of tickets / 63% of handle), which is why the trigger - set 1.5% above a blended fair that weights the market 0.85 - drifted out of reach instead of into it. Colorado won on a TD with 0:42 left and a blocked field goal. The ledger's first CFB order: a missed winner, honestly logged. Never-filled sides ~20W-11L across 32.</t>
        </is>
      </c>
    </row>
    <row r="90">
      <c r="A90" s="21" t="inlineStr">
        <is>
          <t>[WORKED] Pachuca @ FC Juarez, Liga MX Apertura J7 (11:00 PM ET Fri, Estadio Olimpico Benito Juarez): WON - Pachuca 2-0 at Juarez, the fourth tier ticket and the second sourced from an exchange. $104 at 2.174 returns $226.10 (+$122.10 at the reference stake - report your actual venue, price and size and I restate real P&amp;L). SETTLEMENT PREMISE CONFIRMED INDEPENDENTLY: Robinhood's listing of the same contract words it '90 minutes plus stoppage, excluding extra time and penalties' - exactly the market we priced, and both goals came in regulation, so there was no ambiguity. The 46c ask was corroborated as a real quoted price by a second source ('Kalshi has Pachuca at 46%'), though NO volume or depth figure is indexed anywhere - fill size remains unverified by anything but your own report. CLV IS GENUINELY AMBIGUOUS and is recorded conservatively. Raw +11.4%% against the ESPN BET board we anchored on, which re-indexed unchanged at 1.952. But that page serves a single untimestamped snapshot, and a second dated board had Pachuca LENGTHENING to +102 while Juarez shortened - implying a closing Pachuca near 45.8%% against ESPN BET's 49.2%%. The honest bracket on no-vig CLV is -0.4%% to +7.0%%; clv_novig is set to 0.0 at the conservative end BECAUSE this figure feeds the pre-registered rollback metric, and a metric that can retire a policy should never be flattered. TIER SCOREBOARD: 4 settled, 4-0 on results, mean no-vig CLV ~+0.1%% - still barely above zero after four bets; 11 to the checkpoint. This ticket is money in hand and a neutral process verdict: it is NOT evidence the Liga MX blend works.</t>
        </is>
      </c>
    </row>
    <row r="91">
      <c r="A91" s="21" t="inlineStr">
        <is>
          <t>[WORKED] Toledo @ Michigan State, CFB Week 1 (8:00 PM ET Fri, Spartan Stadium): CONFLICT REFUSAL, engine-fired at -5.25% best-price cross-venue hold. FanDuel's -420 devigs to ~77% Michigan State and KALSHI AGREES at 78c on $79K of volume - but POLYMARKET sits at 83c, five-plus points clear of both. Taking the cheap Toledo side at Polymarket's 17c against Kalshi's MSU 78c is the synthetic-arb shape that has graded wrong three times in this ledger. Note the asymmetry that makes this different from Wednesday's phantom-anchor inversion: there the lone outlier was an unnamed blog board and the exchange was right; here a NAMED book and an exchange agree and the other exchange is the outlier - which is exactly why the hierarchy says refuse rather than pick. Settle records which venue was right. Independent reason to stay away: SP+ has MSU by 13.8 and FPI by 5.4 - a two-touchdown model disagreement on a game with two first-time starting QBs under two new head coaches. || SETTLED - VALIDATED ON PROCESS AND OUTCOME. Michigan State won 30-20 (and did NOT cover -10.5), so the refused Toledo ticket would have LOST outright. The venue ranking against a ~77% closing consensus: FanDuel -420 was dead on (error ~0.0-0.7 points), KALSHI's 78c tracked it within a point, and POLYMARKET's 83c was six points off and NEVER CONVERGED - its market ranged 75-83% across $79K of volume, so the quote we saw sat at the extreme top of its own band. That is the unstable-cross-source signature the refusal rule exists to catch: the apparent six-point edge on Toledo at 17c was venue noise inside an eight-point band, not dispersion. Venue-truth ledger: named books 5, exchange 2. Polymarket stays demoted at 0.45 - nothing here argues otherwise.</t>
        </is>
      </c>
    </row>
    <row r="92">
      <c r="A92" s="21" t="inlineStr">
        <is>
          <t>[DIDN'T] CHC @ STL: Cashed on variance: close (CHC +100/STL -120, sharp money on STL) says the edge was not there. Fair missed the no-vig close by 3.7pts on a source-conflict market -&gt; conflict-refusal rule shipped.</t>
        </is>
      </c>
    </row>
    <row r="93">
      <c r="A93" s="21" t="inlineStr">
        <is>
          <t>[DIDN'T] WSH @ ATL: VOID - PROCESS MISS (user report): the card shipped hours after this game's 1:35 PM ET first pitch. The container clock read Sunday evening; I overrode it because search snippets showed no Sunday finals - but a lagging search index is not pre-game proof. Order was never actionable; no bet placed, none should be. Original order terms preserved above for the record; outcome deliberately NOT graded (no hindsight grading of a void order).</t>
        </is>
      </c>
    </row>
    <row r="94">
      <c r="A94" s="21" t="inlineStr">
        <is>
          <t>[DIDN'T] BOS @ LAD (Sunday Night Baseball): VOID - cancelled at 7:03 PM ET with first pitch 7:20 PM ET: no time to re-verify the line, and every price on the card is a morning-stale snapshot. An unsupervisable order is not an order.</t>
        </is>
      </c>
    </row>
    <row r="95">
      <c r="A95" s="21" t="inlineStr">
        <is>
          <t>[DIDN'T] MIA @ NYM: VOID - shipped after the 1:40 PM ET first pitch (same process miss as the headline order). No bet placed, none should be.</t>
        </is>
      </c>
    </row>
    <row r="96">
      <c r="A96" s="21" t="inlineStr">
        <is>
          <t>[DIDN'T] Calibration: flagged-source fair lines (conflict / date trap / low-confidence close) missed the no-vig close by 4.86 pts on average vs 1.92 pts for clean sources — source hygiene IS calibration.</t>
        </is>
      </c>
    </row>
    <row r="98">
      <c r="A98" s="22" t="inlineStr">
        <is>
          <t>Source: data/track_record.json (SharpOds ledger); regenerated by `sharpods-tracker`. Assumption: closing lines are best-available day-of published numbers, not exchange-verified closing ticks.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2026-09-08T13:57:26Z</dcterms:created>
  <dcterms:modified xsi:type="dcterms:W3CDTF">2026-09-08T13:57:26Z</dcterms:modified>
</cp:coreProperties>
</file>