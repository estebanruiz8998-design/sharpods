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order_unfilled</t>
        </is>
      </c>
      <c r="E15" s="3" t="n">
        <v>2.23</v>
      </c>
      <c r="F15" s="3" t="n"/>
      <c r="G15" s="4" t="n">
        <v>0</v>
      </c>
      <c r="H15" s="2" t="inlineStr">
        <is>
          <t>no fill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worked</t>
        </is>
      </c>
      <c r="N15" s="2" t="inlineStr">
        <is>
          <t>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order_void</t>
        </is>
      </c>
      <c r="E16" s="3" t="n">
        <v>1.866</v>
      </c>
      <c r="F16" s="3" t="n"/>
      <c r="G16" s="4" t="n">
        <v>0</v>
      </c>
      <c r="H16" s="2" t="inlineStr">
        <is>
          <t>no fill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miss</t>
        </is>
      </c>
      <c r="N16" s="2" t="inlineStr">
        <is>
          <t>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order_void</t>
        </is>
      </c>
      <c r="E17" s="3" t="n">
        <v>1.666</v>
      </c>
      <c r="F17" s="3" t="n"/>
      <c r="G17" s="4" t="n">
        <v>0</v>
      </c>
      <c r="H17" s="2" t="inlineStr">
        <is>
          <t>no fill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miss</t>
        </is>
      </c>
      <c r="N17" s="2" t="inlineStr">
        <is>
          <t>VOID - cancelled at 7:03 PM ET with first pitch 7:20 PM ET: no time to re-verify the line, and every price on the card is a morning-stale snapshot. An unsupervisable order is not an order.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order_void</t>
        </is>
      </c>
      <c r="E18" s="3" t="n">
        <v>1.925</v>
      </c>
      <c r="F18" s="3" t="n"/>
      <c r="G18" s="4" t="n">
        <v>0</v>
      </c>
      <c r="H18" s="2" t="inlineStr">
        <is>
          <t>no fill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miss</t>
        </is>
      </c>
      <c r="N18" s="2" t="inlineStr">
        <is>
          <t>VOID - shipped after the 1:40 PM ET first pitch (same process miss as the headline order). No bet placed, none should be.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validated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worked</t>
        </is>
      </c>
      <c r="N19" s="2" t="inlineStr">
        <is>
          <t>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20">
      <c r="A20" s="2" t="inlineStr">
        <is>
          <t>2026-08-03</t>
        </is>
      </c>
      <c r="B20" s="2" t="inlineStr">
        <is>
          <t>STL @ NYY (7:05 PM ET Mon)</t>
        </is>
      </c>
      <c r="C20" s="2" t="inlineStr">
        <is>
          <t>Yankees ML</t>
        </is>
      </c>
      <c r="D20" s="2" t="inlineStr">
        <is>
          <t>order_unfilled</t>
        </is>
      </c>
      <c r="E20" s="3" t="n">
        <v>1.599</v>
      </c>
      <c r="F20" s="3" t="n"/>
      <c r="G20" s="4" t="n">
        <v>0</v>
      </c>
      <c r="H20" s="2" t="inlineStr">
        <is>
          <t>no fill</t>
        </is>
      </c>
      <c r="I20" s="5" t="n">
        <v>0</v>
      </c>
      <c r="J20" s="6" t="n"/>
      <c r="K20" s="6" t="n"/>
      <c r="L20" s="2" t="inlineStr">
        <is>
          <t>clean</t>
        </is>
      </c>
      <c r="M20" s="2" t="inlineStr">
        <is>
          <t>worked</t>
        </is>
      </c>
      <c r="N20" s="2" t="inlineStr">
        <is>
          <t>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21">
      <c r="A21" s="2" t="inlineStr">
        <is>
          <t>2026-08-03</t>
        </is>
      </c>
      <c r="B21" s="2" t="inlineStr">
        <is>
          <t>SEA @ NYL (7:00 PM ET Mon)</t>
        </is>
      </c>
      <c r="C21" s="2" t="inlineStr">
        <is>
          <t>Liberty ML</t>
        </is>
      </c>
      <c r="D21" s="2" t="inlineStr">
        <is>
          <t>order_filled_paper</t>
        </is>
      </c>
      <c r="E21" s="3" t="n">
        <v>1.278</v>
      </c>
      <c r="F21" s="3" t="n">
        <v>1.278</v>
      </c>
      <c r="G21" s="4" t="n">
        <v>0</v>
      </c>
      <c r="H21" s="2" t="inlineStr">
        <is>
          <t>won</t>
        </is>
      </c>
      <c r="I21" s="5" t="n">
        <v>0</v>
      </c>
      <c r="J21" s="6" t="n">
        <v>-0.0318</v>
      </c>
      <c r="K21" s="6" t="n">
        <v>-0.0536</v>
      </c>
      <c r="L21" s="2" t="inlineStr">
        <is>
          <t>clean</t>
        </is>
      </c>
      <c r="M21" s="2" t="inlineStr">
        <is>
          <t>flagged</t>
        </is>
      </c>
      <c r="N21" s="2" t="inlineStr">
        <is>
          <t>FILL CONDITION MET AND CASHED - but read the CLV. Liberty drifted -450 -&gt; -315 close, straight through the 1.278 trigger, and won 95-83. At the conservative fill (1.278) that is NEGATIVE CLV vs the ~1.35 no-vig close: a resting limit order fills precisely when the market moves through it - adverse selection (Walters: the drift was information; the market said the Storm were live-r than our day-old board). Paper grade only, stake 0: this was a backup order, not the headline, and the user bets headline only.</t>
        </is>
      </c>
    </row>
    <row r="22">
      <c r="A22" s="2" t="inlineStr">
        <is>
          <t>2026-08-03</t>
        </is>
      </c>
      <c r="B22" s="2" t="inlineStr">
        <is>
          <t>SFG @ TEX (8:05 PM ET Mon)</t>
        </is>
      </c>
      <c r="C22" s="2" t="inlineStr">
        <is>
          <t>Rangers ML</t>
        </is>
      </c>
      <c r="D22" s="2" t="inlineStr">
        <is>
          <t>order_unfilled</t>
        </is>
      </c>
      <c r="E22" s="3" t="n">
        <v>2.03</v>
      </c>
      <c r="F22" s="3" t="n"/>
      <c r="G22" s="4" t="n">
        <v>0</v>
      </c>
      <c r="H22" s="2" t="inlineStr">
        <is>
          <t>no fill</t>
        </is>
      </c>
      <c r="I22" s="5" t="n">
        <v>0</v>
      </c>
      <c r="J22" s="6" t="n"/>
      <c r="K22" s="6" t="n"/>
      <c r="L22" s="2" t="inlineStr">
        <is>
          <t>clean</t>
        </is>
      </c>
      <c r="M22" s="2" t="inlineStr">
        <is>
          <t>worked</t>
        </is>
      </c>
      <c r="N22" s="2" t="inlineStr">
        <is>
          <t>NOT FILLED - TEX never reached plus-money (observed -105 to -125 across books; +103 trigger unreached), then lost 1-5 with five errors behind Webb's 6 shutout IP. Second unfilled loser dodged on the day.</t>
        </is>
      </c>
    </row>
    <row r="23">
      <c r="A23" s="2" t="inlineStr">
        <is>
          <t>2026-08-03</t>
        </is>
      </c>
      <c r="B23" s="2" t="inlineStr">
        <is>
          <t>SDP @ AZ (9:40 PM ET Mon)</t>
        </is>
      </c>
      <c r="C23" s="2" t="inlineStr">
        <is>
          <t>Board rejected pre-slate (garbled quotes)</t>
        </is>
      </c>
      <c r="D23" s="2" t="inlineStr">
        <is>
          <t>flag</t>
        </is>
      </c>
      <c r="E23" s="3" t="n"/>
      <c r="F23" s="3" t="n"/>
      <c r="G23" s="4" t="n">
        <v>0</v>
      </c>
      <c r="H23" s="2" t="inlineStr">
        <is>
          <t>validated</t>
        </is>
      </c>
      <c r="I23" s="5" t="n">
        <v>0</v>
      </c>
      <c r="J23" s="6" t="n"/>
      <c r="K23" s="6" t="n"/>
      <c r="L23" s="2" t="inlineStr">
        <is>
          <t>conflict</t>
        </is>
      </c>
      <c r="M23" s="2" t="inlineStr">
        <is>
          <t>worked</t>
        </is>
      </c>
      <c r="N23" s="2" t="inlineStr">
        <is>
          <t>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24">
      <c r="A24" s="2" t="inlineStr">
        <is>
          <t>2026-08-06</t>
        </is>
      </c>
      <c r="B24" s="2" t="inlineStr">
        <is>
          <t>ATH @ CIN (start time unverified; typical 12:35 PM ET getaway)</t>
        </is>
      </c>
      <c r="C24" s="2" t="inlineStr">
        <is>
          <t>Reds ML</t>
        </is>
      </c>
      <c r="D24" s="2" t="inlineStr">
        <is>
          <t>order_unfilled</t>
        </is>
      </c>
      <c r="E24" s="3" t="n">
        <v>1.679</v>
      </c>
      <c r="F24" s="3" t="n"/>
      <c r="G24" s="4" t="n">
        <v>0</v>
      </c>
      <c r="H24" s="2" t="inlineStr">
        <is>
          <t>no fill</t>
        </is>
      </c>
      <c r="I24" s="5" t="n">
        <v>0</v>
      </c>
      <c r="J24" s="6" t="n"/>
      <c r="K24" s="6" t="n"/>
      <c r="L24" s="2" t="inlineStr">
        <is>
          <t>clean</t>
        </is>
      </c>
      <c r="M24" s="2" t="inlineStr">
        <is>
          <t>worked</t>
        </is>
      </c>
      <c r="N24" s="2" t="inlineStr">
        <is>
          <t>NOT FILLED: CIN drifted our way (-171 open -&gt; -158 at first pitch) but never reached the -147 (1.679) bar; best documented 1.633. CIN won 6-5, and a 1.679 fill would have carried +2.8% raw CLV vs the close - right side, right price demand, market never paid it. Reverse line movement toward the road dog noted pregame; the bar held anyway.</t>
        </is>
      </c>
    </row>
    <row r="25">
      <c r="A25" s="2" t="inlineStr">
        <is>
          <t>2026-08-06</t>
        </is>
      </c>
      <c r="B25" s="2" t="inlineStr">
        <is>
          <t>Dinamo Minsk @ Braga (UECL Q3 leg 1; kickoff ~3:00-3:45 PM ET assumed)</t>
        </is>
      </c>
      <c r="C25" s="2" t="inlineStr">
        <is>
          <t>Braga ML (3-way, draw/away lose)</t>
        </is>
      </c>
      <c r="D25" s="2" t="inlineStr">
        <is>
          <t>order_unfilled</t>
        </is>
      </c>
      <c r="E25" s="3" t="n">
        <v>1.141</v>
      </c>
      <c r="F25" s="3" t="n"/>
      <c r="G25" s="4" t="n">
        <v>0</v>
      </c>
      <c r="H25" s="2" t="inlineStr">
        <is>
          <t>no fill</t>
        </is>
      </c>
      <c r="I25" s="5" t="n">
        <v>0</v>
      </c>
      <c r="J25" s="6" t="n"/>
      <c r="K25" s="6" t="n"/>
      <c r="L25" s="2" t="inlineStr">
        <is>
          <t>clean</t>
        </is>
      </c>
      <c r="M25" s="2" t="inlineStr">
        <is>
          <t>worked</t>
        </is>
      </c>
      <c r="N25" s="2" t="inlineStr">
        <is>
          <t>NOT FILLED: Braga sat 1.10-1.11 everywhere pre-match; the 1.141 re-verified quote never existed. Braga won 1-0. The demotion logic validated exactly: on extreme favorites the only 'fills' available are cross-book noise, and even that noise stayed under 4 cents.</t>
        </is>
      </c>
    </row>
    <row r="26">
      <c r="A26" s="2" t="inlineStr">
        <is>
          <t>2026-08-06</t>
        </is>
      </c>
      <c r="B26" s="2" t="inlineStr">
        <is>
          <t>ARI @ CAR, Hall of Fame Game (8:00 PM ET Thu, Canton - neutral site)</t>
        </is>
      </c>
      <c r="C26" s="2" t="inlineStr">
        <is>
          <t>Cardinals +1.5</t>
        </is>
      </c>
      <c r="D26" s="2" t="inlineStr">
        <is>
          <t>order_unfilled</t>
        </is>
      </c>
      <c r="E26" s="3" t="n">
        <v>1.88</v>
      </c>
      <c r="F26" s="3" t="n"/>
      <c r="G26" s="4" t="n">
        <v>0</v>
      </c>
      <c r="H26" s="2" t="inlineStr">
        <is>
          <t>no fill</t>
        </is>
      </c>
      <c r="I26" s="5" t="n">
        <v>0</v>
      </c>
      <c r="J26" s="6" t="n"/>
      <c r="K26" s="6" t="n"/>
      <c r="L26" s="2" t="inlineStr">
        <is>
          <t>clean</t>
        </is>
      </c>
      <c r="M26" s="2" t="inlineStr">
        <is>
          <t>worked</t>
        </is>
      </c>
      <c r="N26" s="2" t="inlineStr">
        <is>
          <t>NOT FILLED by one cent of juice: ARI +1.5 reached ~-115 game-day vs the -114 bar - and then LOST (CAR won by exactly 3 on the final play). The near-miss dodged a loser; fill discipline is net positive on the card (two would-have-won fills never reached target, the one would-have-lost fill missed by a cent).</t>
        </is>
      </c>
    </row>
    <row r="27">
      <c r="A27" s="2" t="inlineStr">
        <is>
          <t>2026-08-06</t>
        </is>
      </c>
      <c r="B27" s="2" t="inlineStr">
        <is>
          <t>ARI @ CAR (HOF Game)</t>
        </is>
      </c>
      <c r="C27" s="2" t="inlineStr">
        <is>
          <t>Wong teaser leg suppressed (ARI +1.5 -&gt; +7.5)</t>
        </is>
      </c>
      <c r="D27" s="2" t="inlineStr">
        <is>
          <t>flag</t>
        </is>
      </c>
      <c r="E27" s="3" t="n"/>
      <c r="F27" s="3" t="n"/>
      <c r="G27" s="4" t="n">
        <v>0</v>
      </c>
      <c r="H27" s="2" t="inlineStr">
        <is>
          <t>validated</t>
        </is>
      </c>
      <c r="I27" s="5" t="n">
        <v>0</v>
      </c>
      <c r="J27" s="6" t="n"/>
      <c r="K27" s="6" t="n"/>
      <c r="L27" s="2" t="inlineStr">
        <is>
          <t>clean</t>
        </is>
      </c>
      <c r="M27" s="2" t="inlineStr">
        <is>
          <t>worked</t>
        </is>
      </c>
      <c r="N27" s="2" t="inlineStr">
        <is>
          <t>Suppression validated on process with an ironic outcome: the suppressed leg (ARI +1.5 -&gt; +7.5) would have back-doored a win (lost by 3), but the game produced 63 points against a 34.5 total - preseason margins have NO key-number structure, which is precisely why the leg had no business existing. Note-only; engine gating change still deferred (Walters rule).</t>
        </is>
      </c>
    </row>
    <row r="28">
      <c r="A28" s="2" t="inlineStr">
        <is>
          <t>2026-08-10</t>
        </is>
      </c>
      <c r="B28" s="2" t="inlineStr">
        <is>
          <t>NYM @ ATL (7:15 PM ET Mon)</t>
        </is>
      </c>
      <c r="C28" s="2" t="inlineStr">
        <is>
          <t>Braves ML</t>
        </is>
      </c>
      <c r="D28" s="2" t="inlineStr">
        <is>
          <t>order_filled</t>
        </is>
      </c>
      <c r="E28" s="3" t="n">
        <v>1.684</v>
      </c>
      <c r="F28" s="3" t="n">
        <v>1.684</v>
      </c>
      <c r="G28" s="4" t="n">
        <v>0</v>
      </c>
      <c r="H28" s="2" t="inlineStr">
        <is>
          <t>lost</t>
        </is>
      </c>
      <c r="I28" s="5" t="n">
        <v>0</v>
      </c>
      <c r="J28" s="6" t="n">
        <v>-0.0152</v>
      </c>
      <c r="K28" s="6" t="n">
        <v>-0.0305</v>
      </c>
      <c r="L28" s="2" t="inlineStr">
        <is>
          <t>clean</t>
        </is>
      </c>
      <c r="M28" s="2" t="inlineStr">
        <is>
          <t>flagged</t>
        </is>
      </c>
      <c r="N28" s="2" t="inlineStr">
        <is>
          <t>FILLED AND LOST - first filled headline order. The trigger (1.684/-147) verifiably printed at multiple books (-138 Covers, -140 FanDuel, -143 Caesars) before first pitch; ATL lost 8-5. Graded at the 1.684 floor: raw CLV -1.5%, no-vig -3.1% - NEGATIVE, the second straight drift-fill with negative CLV (Liberty Aug-3 was the first). The market drifted toward the Mets all day and the drift was information; re-priced at the drifted number, our own blend no longer cleared the bar. DRIFT-CANCEL RULE shipped to CLAUDE.md off this graded pair. User stake unconfirmed - tracker computes the loss at your unit stake; if you passed on it, tell me and I regrade to no-bet (Timbers precedent).</t>
        </is>
      </c>
    </row>
    <row r="29">
      <c r="A29" s="2" t="inlineStr">
        <is>
          <t>2026-08-10</t>
        </is>
      </c>
      <c r="B29" s="2" t="inlineStr">
        <is>
          <t>Shnaider vs Swiatek, WTA Toronto QF (7:00 PM ET Mon)</t>
        </is>
      </c>
      <c r="C29" s="2" t="inlineStr">
        <is>
          <t>Swiatek ML</t>
        </is>
      </c>
      <c r="D29" s="2" t="inlineStr">
        <is>
          <t>order_unfilled</t>
        </is>
      </c>
      <c r="E29" s="3" t="n">
        <v>1.403</v>
      </c>
      <c r="F29" s="3" t="n"/>
      <c r="G29" s="4" t="n">
        <v>0</v>
      </c>
      <c r="H29" s="2" t="inlineStr">
        <is>
          <t>no fill</t>
        </is>
      </c>
      <c r="I29" s="5" t="n">
        <v>0</v>
      </c>
      <c r="J29" s="6" t="n"/>
      <c r="K29" s="6" t="n"/>
      <c r="L29" s="2" t="inlineStr">
        <is>
          <t>clean</t>
        </is>
      </c>
      <c r="M29" s="2" t="inlineStr">
        <is>
          <t>worked</t>
        </is>
      </c>
      <c r="N29" s="2" t="inlineStr">
        <is>
          <t>NOT FILLED: no book ever printed 1.403+ (-285/-300 everywhere). Swiatek won 6-2 6-1 - a missed winner, which is the cost side of the same discipline that has dodged three losers. The bar cuts both ways; that is the design.</t>
        </is>
      </c>
    </row>
    <row r="30">
      <c r="A30" s="2" t="inlineStr">
        <is>
          <t>2026-08-10</t>
        </is>
      </c>
      <c r="B30" s="2" t="inlineStr">
        <is>
          <t>COL @ AZ (Chase Field, evening - exact time TBC)</t>
        </is>
      </c>
      <c r="C30" s="2" t="inlineStr">
        <is>
          <t>Diamondbacks ML</t>
        </is>
      </c>
      <c r="D30" s="2" t="inlineStr">
        <is>
          <t>order_unfilled</t>
        </is>
      </c>
      <c r="E30" s="3" t="n">
        <v>1.624</v>
      </c>
      <c r="F30" s="3" t="n"/>
      <c r="G30" s="4" t="n">
        <v>0</v>
      </c>
      <c r="H30" s="2" t="inlineStr">
        <is>
          <t>no fill</t>
        </is>
      </c>
      <c r="I30" s="5" t="n">
        <v>0</v>
      </c>
      <c r="J30" s="6" t="n"/>
      <c r="K30" s="6" t="n"/>
      <c r="L30" s="2" t="inlineStr">
        <is>
          <t>clean</t>
        </is>
      </c>
      <c r="M30" s="2" t="inlineStr">
        <is>
          <t>worked</t>
        </is>
      </c>
      <c r="N30" s="2" t="inlineStr">
        <is>
          <t>NOT FILLED: line moved AWAY from the order all day (-179 -&gt; -190s; the -164 outlier board never reached -160). Game in progress at grading - outcome irrelevant to an unfilled order.</t>
        </is>
      </c>
    </row>
    <row r="31">
      <c r="A31" s="2" t="inlineStr">
        <is>
          <t>2026-08-10</t>
        </is>
      </c>
      <c r="B31" s="2" t="inlineStr">
        <is>
          <t>KC @ LAD (10:10 PM ET Mon - Skubal home debut)</t>
        </is>
      </c>
      <c r="C31" s="2" t="inlineStr">
        <is>
          <t>Moneyline refused (conflict rule)</t>
        </is>
      </c>
      <c r="D31" s="2" t="inlineStr">
        <is>
          <t>refusal</t>
        </is>
      </c>
      <c r="E31" s="3" t="n"/>
      <c r="F31" s="3" t="n"/>
      <c r="G31" s="4" t="n">
        <v>0</v>
      </c>
      <c r="H31" s="2" t="inlineStr">
        <is>
          <t>validated</t>
        </is>
      </c>
      <c r="I31" s="5" t="n">
        <v>0</v>
      </c>
      <c r="J31" s="6" t="n"/>
      <c r="K31" s="6" t="n"/>
      <c r="L31" s="2" t="inlineStr">
        <is>
          <t>conflict</t>
        </is>
      </c>
      <c r="M31" s="2" t="inlineStr">
        <is>
          <t>worked</t>
        </is>
      </c>
      <c r="N31" s="2" t="inlineStr">
        <is>
          <t>VALIDATED, with the sharpest twist yet: the definitive Monday close was LAD -325/-330 (FanDuel + 'other oddsmakers' + Polymarket 74c all agree near 76%) - the -160 board we saw was itself a stale/erroneous print. The conflict was real, and this time the BOOK leg was the garbage and the prediction market was near truth (mirror of the Aug-1 stale 'CHC 1.62'). The rule doesn't care which source lies - it refuses the disagreement. LAD needed a 7th-inning rally to win 6-5. 7-for-7 on refusals/flags.</t>
        </is>
      </c>
    </row>
    <row r="32">
      <c r="A32" s="2" t="inlineStr">
        <is>
          <t>2026-08-11</t>
        </is>
      </c>
      <c r="B32" s="2" t="inlineStr">
        <is>
          <t>CLE @ DET (6:40 PM ET Tue, Comerica)</t>
        </is>
      </c>
      <c r="C32" s="2" t="inlineStr">
        <is>
          <t>Tigers ML</t>
        </is>
      </c>
      <c r="D32" s="2" t="inlineStr">
        <is>
          <t>order_unfilled</t>
        </is>
      </c>
      <c r="E32" s="3" t="n">
        <v>2.164</v>
      </c>
      <c r="F32" s="3" t="n"/>
      <c r="G32" s="4" t="n">
        <v>0</v>
      </c>
      <c r="H32" s="2" t="inlineStr">
        <is>
          <t>no fill</t>
        </is>
      </c>
      <c r="I32" s="5" t="n">
        <v>0</v>
      </c>
      <c r="J32" s="6" t="n"/>
      <c r="K32" s="6" t="n"/>
      <c r="L32" s="2" t="inlineStr">
        <is>
          <t>clean</t>
        </is>
      </c>
      <c r="M32" s="2" t="inlineStr">
        <is>
          <t>worked</t>
        </is>
      </c>
      <c r="N32" s="2" t="inlineStr">
        <is>
          <t>NOT FILLED - the market ran the other way, hard: DET +113 Monday night -&gt; -120/-121 favorite at first pitch. No +116 ever printed. DET won 6-4, so another would-have-won missed - but the swing's SIZE is the lesson: an overnight board can embed a different starting pitcher than game-day reality (Drew Anderson started). Listed-pitcher rule: every future order names its assumed starters, and a change voids the premise (Skenes-scratch lesson, Jul 30, finally codified).</t>
        </is>
      </c>
    </row>
    <row r="33">
      <c r="A33" s="2" t="inlineStr">
        <is>
          <t>2026-08-11</t>
        </is>
      </c>
      <c r="B33" s="2" t="inlineStr">
        <is>
          <t>TB @ ATH (9:40 PM ET Tue)</t>
        </is>
      </c>
      <c r="C33" s="2" t="inlineStr">
        <is>
          <t>Rays ML</t>
        </is>
      </c>
      <c r="D33" s="2" t="inlineStr">
        <is>
          <t>order_unfilled</t>
        </is>
      </c>
      <c r="E33" s="3" t="n">
        <v>1.72</v>
      </c>
      <c r="F33" s="3" t="n"/>
      <c r="G33" s="4" t="n">
        <v>0</v>
      </c>
      <c r="H33" s="2" t="inlineStr">
        <is>
          <t>no fill</t>
        </is>
      </c>
      <c r="I33" s="5" t="n">
        <v>0</v>
      </c>
      <c r="J33" s="6" t="n"/>
      <c r="K33" s="6" t="n"/>
      <c r="L33" s="2" t="inlineStr">
        <is>
          <t>clean</t>
        </is>
      </c>
      <c r="M33" s="2" t="inlineStr">
        <is>
          <t>worked</t>
        </is>
      </c>
      <c r="N33" s="2" t="inlineStr">
        <is>
          <t>NOT FILLED - TB shortened -146 -&gt; -180 and won 12-4. Fourth straight unfilled order whose side won. Tempting to call the bar too high; the ledger says otherwise - the only two orders that DID fill both carried negative CLV and went 1-1. Unfilled winners are the visible cost of refusing bad prices; filled losers are the invisible cost of chasing. No parameter change (Walters rule).</t>
        </is>
      </c>
    </row>
    <row r="34">
      <c r="A34" s="2" t="inlineStr">
        <is>
          <t>2026-08-11</t>
        </is>
      </c>
      <c r="B34" s="2" t="inlineStr">
        <is>
          <t>KC @ LAD (10:10 PM ET Tue)</t>
        </is>
      </c>
      <c r="C34" s="2" t="inlineStr">
        <is>
          <t>Moneyline refused (conflict rule, day 2)</t>
        </is>
      </c>
      <c r="D34" s="2" t="inlineStr">
        <is>
          <t>refusal</t>
        </is>
      </c>
      <c r="E34" s="3" t="n"/>
      <c r="F34" s="3" t="n"/>
      <c r="G34" s="4" t="n">
        <v>0</v>
      </c>
      <c r="H34" s="2" t="inlineStr">
        <is>
          <t>validated</t>
        </is>
      </c>
      <c r="I34" s="5" t="n">
        <v>0</v>
      </c>
      <c r="J34" s="6" t="n"/>
      <c r="K34" s="6" t="n"/>
      <c r="L34" s="2" t="inlineStr">
        <is>
          <t>conflict</t>
        </is>
      </c>
      <c r="M34" s="2" t="inlineStr">
        <is>
          <t>worked</t>
        </is>
      </c>
      <c r="N34" s="2" t="inlineStr">
        <is>
          <t>Book LAD -285 vs Polymarket 72c: nearly agreeing today, but cross-source best prices still net -0.99% hold - the rule is binary and fires the same on small conflicts as wide ones (that binariness is the Cubs-3.7pt lesson). 6th application. Monday's refusal grades at its close next cycle alongside this one. || SETTLED: close LAD -275 (~70-71% no-vig) vs Polymarket 72c - the sources converged AT the close, meaning no exploitable edge ever existed. LAD won 5-4. Refusals now 8-for-8.</t>
        </is>
      </c>
    </row>
    <row r="35">
      <c r="A35" s="2" t="inlineStr">
        <is>
          <t>2026-08-12</t>
        </is>
      </c>
      <c r="B35" s="2" t="inlineStr">
        <is>
          <t>NYM @ ATL (7:15 PM ET Wed; PITCHERS: Thornton vs Mahle)</t>
        </is>
      </c>
      <c r="C35" s="2" t="inlineStr">
        <is>
          <t>Braves ML</t>
        </is>
      </c>
      <c r="D35" s="2" t="inlineStr">
        <is>
          <t>order_unfilled</t>
        </is>
      </c>
      <c r="E35" s="3" t="n">
        <v>1.666</v>
      </c>
      <c r="F35" s="3" t="n"/>
      <c r="G35" s="4" t="n">
        <v>0</v>
      </c>
      <c r="H35" s="2" t="inlineStr">
        <is>
          <t>no fill</t>
        </is>
      </c>
      <c r="I35" s="5" t="n">
        <v>0</v>
      </c>
      <c r="J35" s="6" t="n"/>
      <c r="K35" s="6" t="n"/>
      <c r="L35" s="2" t="inlineStr">
        <is>
          <t>clean</t>
        </is>
      </c>
      <c r="M35" s="2" t="inlineStr">
        <is>
          <t>worked</t>
        </is>
      </c>
      <c r="N35" s="2" t="inlineStr">
        <is>
          <t>NOT FILLED - the board moved the wrong way all day (-156 -&gt; -158/-175 close); -150 never printed. ATL won 6-3: the FIFTH straight unfilled order whose side won. Pattern reading: our fairs are directionally right and the market agrees too fast to pay our price - which is what near-parity Brier with the close predicts. The bar stays (Walters rule); the edge has to come from being earlier, not looser.</t>
        </is>
      </c>
    </row>
    <row r="36">
      <c r="A36" s="2" t="inlineStr">
        <is>
          <t>2026-08-12</t>
        </is>
      </c>
      <c r="B36" s="2" t="inlineStr">
        <is>
          <t>ATP Montreal SF: Jodar vs Nakashima (6:00 PM ET Wed)</t>
        </is>
      </c>
      <c r="C36" s="2" t="inlineStr">
        <is>
          <t>Nakashima ML</t>
        </is>
      </c>
      <c r="D36" s="2" t="inlineStr">
        <is>
          <t>order_filled_paper</t>
        </is>
      </c>
      <c r="E36" s="3" t="n">
        <v>2.969</v>
      </c>
      <c r="F36" s="3" t="n">
        <v>2.969</v>
      </c>
      <c r="G36" s="4" t="n">
        <v>0</v>
      </c>
      <c r="H36" s="2" t="inlineStr">
        <is>
          <t>won</t>
        </is>
      </c>
      <c r="I36" s="5" t="n">
        <v>0</v>
      </c>
      <c r="J36" s="6" t="n">
        <v>0.009900000000000001</v>
      </c>
      <c r="K36" s="6" t="n">
        <v>-0.0173</v>
      </c>
      <c r="L36" s="2" t="inlineStr">
        <is>
          <t>clean</t>
        </is>
      </c>
      <c r="M36" s="2" t="inlineStr">
        <is>
          <t>worked</t>
        </is>
      </c>
      <c r="N36" s="2" t="inlineStr">
        <is>
          <t>FILL CONDITION MET VIA CROSS-BOOK SHOPPING - AND WON. +200 (&gt;= the +197 trigger) was genuinely available at a book pre-match while Dimers' board showed +188; Nakashima won 7-6(3) 6-4. At the 2.969 floor vs the 2.94 close: raw CLV +1.0%, no-vig -1.7% - the first fill in this ledger with POSITIVE RAW CLV and the best fill-CLV recorded (prior fills: -5.4% and -3.1% no-vig), precisely because it came from price dispersion across books (allowed) rather than line drift (forbidden). The drift-vs-shopping distinction now has favorable evidence on the shopping side. Paper grade, stake 0 - backup order, user bets headline only.</t>
        </is>
      </c>
    </row>
    <row r="37">
      <c r="A37" s="2" t="inlineStr">
        <is>
          <t>2026-08-12</t>
        </is>
      </c>
      <c r="B37" s="2" t="inlineStr">
        <is>
          <t>SEA @ NYY (7:05 PM ET Wed; PITCHERS: Miller vs Warren)</t>
        </is>
      </c>
      <c r="C37" s="2" t="inlineStr">
        <is>
          <t>Yankees ML</t>
        </is>
      </c>
      <c r="D37" s="2" t="inlineStr">
        <is>
          <t>order_unfilled</t>
        </is>
      </c>
      <c r="E37" s="3" t="n">
        <v>1.893</v>
      </c>
      <c r="F37" s="3" t="n"/>
      <c r="G37" s="4" t="n">
        <v>0</v>
      </c>
      <c r="H37" s="2" t="inlineStr">
        <is>
          <t>no fill</t>
        </is>
      </c>
      <c r="I37" s="5" t="n">
        <v>0</v>
      </c>
      <c r="J37" s="6" t="n"/>
      <c r="K37" s="6" t="n"/>
      <c r="L37" s="2" t="inlineStr">
        <is>
          <t>clean</t>
        </is>
      </c>
      <c r="M37" s="2" t="inlineStr">
        <is>
          <t>worked</t>
        </is>
      </c>
      <c r="N37" s="2" t="inlineStr">
        <is>
          <t>NOT FILLED - opened -119 and firmed to -131; the -112 trigger never printed. NYY won 10-5 anyway (sixth unfilled winner if you count this one alongside the ATL streak).</t>
        </is>
      </c>
    </row>
    <row r="38">
      <c r="A38" s="2" t="inlineStr">
        <is>
          <t>2026-08-13</t>
        </is>
      </c>
      <c r="B38" s="2" t="inlineStr">
        <is>
          <t>MIL @ LAD (10:10 PM ET Thu; PITCHERS: Drohan vs Sasaki)</t>
        </is>
      </c>
      <c r="C38" s="2" t="inlineStr">
        <is>
          <t>Brewers ML</t>
        </is>
      </c>
      <c r="D38" s="2" t="inlineStr">
        <is>
          <t>order_open</t>
        </is>
      </c>
      <c r="E38" s="3" t="n">
        <v>2.353</v>
      </c>
      <c r="F38" s="3" t="n"/>
      <c r="G38" s="4" t="n">
        <v>0</v>
      </c>
      <c r="H38" s="2" t="inlineStr">
        <is>
          <t>pending</t>
        </is>
      </c>
      <c r="I38" s="5" t="n">
        <v>0</v>
      </c>
      <c r="J38" s="6" t="n"/>
      <c r="K38" s="6" t="n"/>
      <c r="L38" s="2" t="inlineStr">
        <is>
          <t>clean</t>
        </is>
      </c>
      <c r="M38" s="2" t="inlineStr">
        <is>
          <t>pending</t>
        </is>
      </c>
      <c r="N38" s="2" t="inlineStr">
        <is>
          <t>HEADLINE ORDER - first-place showdown, best team in baseball as the road dog. Fair 2.296 (market away 42.5% blended with model 49.6% - in-house log5 makes this near a coin flip that the market prices at -146 LAD). Fires at 2.353+ (+124 -&gt; +136 or better). Rookie bulk-arm risk on Drohan is the market's case; LISTED-PITCHER rule applies, DRIFT-CANCEL applies, $46 at quarter-Kelly if clean.</t>
        </is>
      </c>
    </row>
    <row r="39">
      <c r="A39" s="2" t="inlineStr">
        <is>
          <t>2026-08-13</t>
        </is>
      </c>
      <c r="B39" s="2" t="inlineStr">
        <is>
          <t>PHI @ MIN, Field of Dreams (7:30 PM ET; Nola vs Bradley; RAIN RISK)</t>
        </is>
      </c>
      <c r="C39" s="2" t="inlineStr">
        <is>
          <t>Over 8.5</t>
        </is>
      </c>
      <c r="D39" s="2" t="inlineStr">
        <is>
          <t>order_open</t>
        </is>
      </c>
      <c r="E39" s="3" t="n">
        <v>1.937</v>
      </c>
      <c r="F39" s="3" t="n"/>
      <c r="G39" s="4" t="n">
        <v>0</v>
      </c>
      <c r="H39" s="2" t="inlineStr">
        <is>
          <t>pending</t>
        </is>
      </c>
      <c r="I39" s="5" t="n">
        <v>0</v>
      </c>
      <c r="J39" s="6" t="n"/>
      <c r="K39" s="6" t="n"/>
      <c r="L39" s="2" t="inlineStr">
        <is>
          <t>clean</t>
        </is>
      </c>
      <c r="M39" s="2" t="inlineStr">
        <is>
          <t>pending</t>
        </is>
      </c>
      <c r="N39" s="2" t="inlineStr">
        <is>
          <t>First total ever to TOP the raw order board (-1.82% at listed 1.855) - driven by the first dated third-party total model (SportsLine 10k-sim: over 8.5 in 60.2%, avg 9.8 runs, short-fence neutral park, Nola 5.47 ERA). Stays a backup per the totals-never-headline rule (totals are 3 of 5 graded, sample meaningless). Rain could postpone - verify the game is on before anything.</t>
        </is>
      </c>
    </row>
    <row r="40">
      <c r="A40" s="2" t="inlineStr">
        <is>
          <t>2026-08-13</t>
        </is>
      </c>
      <c r="B40" s="2" t="inlineStr">
        <is>
          <t>PHI @ MIN, Field of Dreams (same game)</t>
        </is>
      </c>
      <c r="C40" s="2" t="inlineStr">
        <is>
          <t>Phillies ML</t>
        </is>
      </c>
      <c r="D40" s="2" t="inlineStr">
        <is>
          <t>order_open</t>
        </is>
      </c>
      <c r="E40" s="3" t="n">
        <v>2.063</v>
      </c>
      <c r="F40" s="3" t="n"/>
      <c r="G40" s="4" t="n">
        <v>0</v>
      </c>
      <c r="H40" s="2" t="inlineStr">
        <is>
          <t>pending</t>
        </is>
      </c>
      <c r="I40" s="5" t="n">
        <v>0</v>
      </c>
      <c r="J40" s="6" t="n"/>
      <c r="K40" s="6" t="n"/>
      <c r="L40" s="2" t="inlineStr">
        <is>
          <t>clean</t>
        </is>
      </c>
      <c r="M40" s="2" t="inlineStr">
        <is>
          <t>pending</t>
        </is>
      </c>
      <c r="N40" s="2" t="inlineStr">
        <is>
          <t>Neutral-site fair 2.013 (no home edge in the log5 - PHI 64-58 is simply the better record); market prices MIN -114 partly on Bradley vs Nola, which is legitimate. Fires at 2.063+ only.</t>
        </is>
      </c>
    </row>
    <row r="42">
      <c r="A42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  <row r="25">
      <c r="A25" s="2" t="inlineStr">
        <is>
          <t>2026-08-02</t>
        </is>
      </c>
      <c r="B25" s="2" t="inlineStr">
        <is>
          <t>mlb-2026-08-02-stl-tor</t>
        </is>
      </c>
      <c r="C25" s="8" t="n">
        <v>0.5279</v>
      </c>
      <c r="D25" s="8" t="n">
        <v>0.5294</v>
      </c>
      <c r="E25" s="9">
        <f>ABS(C25-D25)*100</f>
        <v/>
      </c>
      <c r="F25" s="2" t="n">
        <v>0</v>
      </c>
      <c r="G25" s="10">
        <f>(C25-F25)^2</f>
        <v/>
      </c>
      <c r="H25" s="10">
        <f>(D25-F25)^2</f>
        <v/>
      </c>
      <c r="I25" s="2" t="inlineStr">
        <is>
          <t>clean</t>
        </is>
      </c>
    </row>
    <row r="26">
      <c r="A26" s="2" t="inlineStr">
        <is>
          <t>2026-08-02</t>
        </is>
      </c>
      <c r="B26" s="2" t="inlineStr">
        <is>
          <t>mlb-2026-08-02-kc-col</t>
        </is>
      </c>
      <c r="C26" s="8" t="n">
        <v>0.5423</v>
      </c>
      <c r="D26" s="8" t="n">
        <v>0.5454</v>
      </c>
      <c r="E26" s="9">
        <f>ABS(C26-D26)*100</f>
        <v/>
      </c>
      <c r="F26" s="2" t="n">
        <v>1</v>
      </c>
      <c r="G26" s="10">
        <f>(C26-F26)^2</f>
        <v/>
      </c>
      <c r="H26" s="10">
        <f>(D26-F26)^2</f>
        <v/>
      </c>
      <c r="I26" s="2" t="inlineStr">
        <is>
          <t>clean</t>
        </is>
      </c>
    </row>
    <row r="27">
      <c r="A27" s="2" t="inlineStr">
        <is>
          <t>2026-08-02</t>
        </is>
      </c>
      <c r="B27" s="2" t="inlineStr">
        <is>
          <t>mlb-2026-08-02-mil-laa</t>
        </is>
      </c>
      <c r="C27" s="8" t="n">
        <v>0.3168</v>
      </c>
      <c r="D27" s="8" t="n">
        <v>0.3424</v>
      </c>
      <c r="E27" s="9">
        <f>ABS(C27-D27)*100</f>
        <v/>
      </c>
      <c r="F27" s="2" t="n">
        <v>1</v>
      </c>
      <c r="G27" s="10">
        <f>(C27-F27)^2</f>
        <v/>
      </c>
      <c r="H27" s="10">
        <f>(D27-F27)^2</f>
        <v/>
      </c>
      <c r="I27" s="2" t="inlineStr">
        <is>
          <t>clean</t>
        </is>
      </c>
    </row>
    <row r="28">
      <c r="A28" s="2" t="inlineStr">
        <is>
          <t>2026-08-02</t>
        </is>
      </c>
      <c r="B28" s="2" t="inlineStr">
        <is>
          <t>mlb-2026-08-02-nyy-chc</t>
        </is>
      </c>
      <c r="C28" s="8" t="n">
        <v>0.478</v>
      </c>
      <c r="D28" s="8" t="n">
        <v>0.4546</v>
      </c>
      <c r="E28" s="9">
        <f>ABS(C28-D28)*100</f>
        <v/>
      </c>
      <c r="F28" s="2" t="n">
        <v>0</v>
      </c>
      <c r="G28" s="10">
        <f>(C28-F28)^2</f>
        <v/>
      </c>
      <c r="H28" s="10">
        <f>(D28-F28)^2</f>
        <v/>
      </c>
      <c r="I28" s="2" t="inlineStr">
        <is>
          <t>clean</t>
        </is>
      </c>
    </row>
    <row r="29">
      <c r="A29" s="2" t="inlineStr">
        <is>
          <t>2026-08-02</t>
        </is>
      </c>
      <c r="B29" s="2" t="inlineStr">
        <is>
          <t>mlb-2026-08-02-wsh-atl</t>
        </is>
      </c>
      <c r="C29" s="8" t="n">
        <v>0.5492</v>
      </c>
      <c r="D29" s="8" t="n">
        <v>0.5367</v>
      </c>
      <c r="E29" s="9">
        <f>ABS(C29-D29)*100</f>
        <v/>
      </c>
      <c r="F29" s="2" t="n">
        <v>1</v>
      </c>
      <c r="G29" s="10">
        <f>(C29-F29)^2</f>
        <v/>
      </c>
      <c r="H29" s="10">
        <f>(D29-F29)^2</f>
        <v/>
      </c>
      <c r="I29" s="2" t="inlineStr">
        <is>
          <t>clean</t>
        </is>
      </c>
    </row>
    <row r="30">
      <c r="A30" s="2" t="inlineStr">
        <is>
          <t>2026-08-02</t>
        </is>
      </c>
      <c r="B30" s="2" t="inlineStr">
        <is>
          <t>mlb-2026-08-02-az-cle</t>
        </is>
      </c>
      <c r="C30" s="8" t="n">
        <v>0.5821</v>
      </c>
      <c r="D30" s="8" t="n">
        <v>0.5821</v>
      </c>
      <c r="E30" s="9">
        <f>ABS(C30-D30)*100</f>
        <v/>
      </c>
      <c r="F30" s="2" t="n">
        <v>1</v>
      </c>
      <c r="G30" s="10">
        <f>(C30-F30)^2</f>
        <v/>
      </c>
      <c r="H30" s="10">
        <f>(D30-F30)^2</f>
        <v/>
      </c>
      <c r="I30" s="2" t="inlineStr">
        <is>
          <t>clean</t>
        </is>
      </c>
    </row>
    <row r="31">
      <c r="A31" s="2" t="inlineStr">
        <is>
          <t>2026-08-02</t>
        </is>
      </c>
      <c r="B31" s="2" t="inlineStr">
        <is>
          <t>wnba-2026-08-02-la-por</t>
        </is>
      </c>
      <c r="C31" s="8" t="n">
        <v>0.5177</v>
      </c>
      <c r="D31" s="8" t="n">
        <v>0.5233</v>
      </c>
      <c r="E31" s="9">
        <f>ABS(C31-D31)*100</f>
        <v/>
      </c>
      <c r="F31" s="2" t="n">
        <v>0</v>
      </c>
      <c r="G31" s="10">
        <f>(C31-F31)^2</f>
        <v/>
      </c>
      <c r="H31" s="10">
        <f>(D31-F31)^2</f>
        <v/>
      </c>
      <c r="I31" s="2" t="inlineStr">
        <is>
          <t>clean</t>
        </is>
      </c>
    </row>
    <row r="32">
      <c r="A32" s="2" t="inlineStr">
        <is>
          <t>2026-08-02</t>
        </is>
      </c>
      <c r="B32" s="2" t="inlineStr">
        <is>
          <t>wta-2026-08-02-rakhimova-williams</t>
        </is>
      </c>
      <c r="C32" s="8" t="n">
        <v>0.2195</v>
      </c>
      <c r="D32" s="8" t="n">
        <v>0.2176</v>
      </c>
      <c r="E32" s="9">
        <f>ABS(C32-D32)*100</f>
        <v/>
      </c>
      <c r="F32" s="2" t="n">
        <v>0</v>
      </c>
      <c r="G32" s="10">
        <f>(C32-F32)^2</f>
        <v/>
      </c>
      <c r="H32" s="10">
        <f>(D32-F32)^2</f>
        <v/>
      </c>
      <c r="I32" s="2" t="inlineStr">
        <is>
          <t>clean</t>
        </is>
      </c>
    </row>
    <row r="33">
      <c r="A33" s="2" t="inlineStr">
        <is>
          <t>2026-08-02</t>
        </is>
      </c>
      <c r="B33" s="2" t="inlineStr">
        <is>
          <t>mlb-2026-08-02-det-ath</t>
        </is>
      </c>
      <c r="C33" s="8" t="n">
        <v>0.4313</v>
      </c>
      <c r="D33" s="8" t="n">
        <v>0.4547</v>
      </c>
      <c r="E33" s="9">
        <f>ABS(C33-D33)*100</f>
        <v/>
      </c>
      <c r="F33" s="2" t="n">
        <v>0</v>
      </c>
      <c r="G33" s="10">
        <f>(C33-F33)^2</f>
        <v/>
      </c>
      <c r="H33" s="10">
        <f>(D33-F33)^2</f>
        <v/>
      </c>
      <c r="I33" s="2" t="inlineStr">
        <is>
          <t>clean</t>
        </is>
      </c>
    </row>
    <row r="34">
      <c r="A34" s="2" t="inlineStr">
        <is>
          <t>2026-08-02</t>
        </is>
      </c>
      <c r="B34" s="2" t="inlineStr">
        <is>
          <t>mlb-2026-08-02-sfg-sdp</t>
        </is>
      </c>
      <c r="C34" s="8" t="n">
        <v>0.5951</v>
      </c>
      <c r="D34" s="8" t="n">
        <v>0.5815</v>
      </c>
      <c r="E34" s="9">
        <f>ABS(C34-D34)*100</f>
        <v/>
      </c>
      <c r="F34" s="2" t="n">
        <v>1</v>
      </c>
      <c r="G34" s="10">
        <f>(C34-F34)^2</f>
        <v/>
      </c>
      <c r="H34" s="10">
        <f>(D34-F34)^2</f>
        <v/>
      </c>
      <c r="I34" s="2" t="inlineStr">
        <is>
          <t>clean</t>
        </is>
      </c>
    </row>
    <row r="35">
      <c r="A35" s="2" t="inlineStr">
        <is>
          <t>2026-08-02</t>
        </is>
      </c>
      <c r="B35" s="2" t="inlineStr">
        <is>
          <t>mlb-2026-08-02-min-sea</t>
        </is>
      </c>
      <c r="C35" s="8" t="n">
        <v>0.5620000000000001</v>
      </c>
      <c r="D35" s="8" t="n">
        <v>0.5629999999999999</v>
      </c>
      <c r="E35" s="9">
        <f>ABS(C35-D35)*100</f>
        <v/>
      </c>
      <c r="F35" s="2" t="n">
        <v>1</v>
      </c>
      <c r="G35" s="10">
        <f>(C35-F35)^2</f>
        <v/>
      </c>
      <c r="H35" s="10">
        <f>(D35-F35)^2</f>
        <v/>
      </c>
      <c r="I35" s="2" t="inlineStr">
        <is>
          <t>clean</t>
        </is>
      </c>
    </row>
    <row r="36">
      <c r="A36" s="2" t="inlineStr">
        <is>
          <t>2026-08-02</t>
        </is>
      </c>
      <c r="B36" s="2" t="inlineStr">
        <is>
          <t>mlb-2026-08-02-bos-lad</t>
        </is>
      </c>
      <c r="C36" s="8" t="n">
        <v>0.6151</v>
      </c>
      <c r="D36" s="8" t="n">
        <v>0.6287</v>
      </c>
      <c r="E36" s="9">
        <f>ABS(C36-D36)*100</f>
        <v/>
      </c>
      <c r="F36" s="2" t="n">
        <v>0</v>
      </c>
      <c r="G36" s="10">
        <f>(C36-F36)^2</f>
        <v/>
      </c>
      <c r="H36" s="10">
        <f>(D36-F36)^2</f>
        <v/>
      </c>
      <c r="I36" s="2" t="inlineStr">
        <is>
          <t>clean</t>
        </is>
      </c>
    </row>
    <row r="37">
      <c r="A37" s="2" t="inlineStr">
        <is>
          <t>2026-08-02</t>
        </is>
      </c>
      <c r="B37" s="2" t="inlineStr">
        <is>
          <t>atp-2026-08-02-berrettini-navone</t>
        </is>
      </c>
      <c r="C37" s="8" t="n">
        <v>0.3522</v>
      </c>
      <c r="D37" s="8" t="n">
        <v>0.358</v>
      </c>
      <c r="E37" s="9">
        <f>ABS(C37-D37)*100</f>
        <v/>
      </c>
      <c r="F37" s="2" t="n">
        <v>1</v>
      </c>
      <c r="G37" s="10">
        <f>(C37-F37)^2</f>
        <v/>
      </c>
      <c r="H37" s="10">
        <f>(D37-F37)^2</f>
        <v/>
      </c>
      <c r="I37" s="2" t="inlineStr">
        <is>
          <t>clean</t>
        </is>
      </c>
    </row>
    <row r="38">
      <c r="A38" s="2" t="inlineStr">
        <is>
          <t>2026-08-02</t>
        </is>
      </c>
      <c r="B38" s="2" t="inlineStr">
        <is>
          <t>wta-2026-08-02-bartunkova-andreescu</t>
        </is>
      </c>
      <c r="C38" s="8" t="n">
        <v>0.416</v>
      </c>
      <c r="D38" s="8" t="n">
        <v>0.4042</v>
      </c>
      <c r="E38" s="9">
        <f>ABS(C38-D38)*100</f>
        <v/>
      </c>
      <c r="F38" s="2" t="n">
        <v>0</v>
      </c>
      <c r="G38" s="10">
        <f>(C38-F38)^2</f>
        <v/>
      </c>
      <c r="H38" s="10">
        <f>(D38-F38)^2</f>
        <v/>
      </c>
      <c r="I38" s="2" t="inlineStr">
        <is>
          <t>clean</t>
        </is>
      </c>
    </row>
    <row r="39">
      <c r="A39" s="2" t="inlineStr">
        <is>
          <t>2026-08-02</t>
        </is>
      </c>
      <c r="B39" s="2" t="inlineStr">
        <is>
          <t>ligamx-2026-08-02-san-ame</t>
        </is>
      </c>
      <c r="C39" s="8" t="n">
        <v>0.6858</v>
      </c>
      <c r="D39" s="8" t="n">
        <v>0.6949</v>
      </c>
      <c r="E39" s="9">
        <f>ABS(C39-D39)*100</f>
        <v/>
      </c>
      <c r="F39" s="2" t="n">
        <v>1</v>
      </c>
      <c r="G39" s="10">
        <f>(C39-F39)^2</f>
        <v/>
      </c>
      <c r="H39" s="10">
        <f>(D39-F39)^2</f>
        <v/>
      </c>
      <c r="I39" s="2" t="inlineStr">
        <is>
          <t>clean</t>
        </is>
      </c>
    </row>
    <row r="40">
      <c r="A40" s="2" t="inlineStr">
        <is>
          <t>2026-08-02</t>
        </is>
      </c>
      <c r="B40" s="2" t="inlineStr">
        <is>
          <t>cdb-2026-08-02-cru-cha</t>
        </is>
      </c>
      <c r="C40" s="8" t="n">
        <v>0.2043</v>
      </c>
      <c r="D40" s="8" t="n">
        <v>0.2275</v>
      </c>
      <c r="E40" s="9">
        <f>ABS(C40-D40)*100</f>
        <v/>
      </c>
      <c r="F40" s="2" t="n">
        <v>0</v>
      </c>
      <c r="G40" s="10">
        <f>(C40-F40)^2</f>
        <v/>
      </c>
      <c r="H40" s="10">
        <f>(D40-F40)^2</f>
        <v/>
      </c>
      <c r="I40" s="2" t="inlineStr">
        <is>
          <t>clean</t>
        </is>
      </c>
    </row>
    <row r="41">
      <c r="A41" s="2" t="inlineStr">
        <is>
          <t>2026-08-02</t>
        </is>
      </c>
      <c r="B41" s="2" t="inlineStr">
        <is>
          <t>cdb-2026-08-02-cor-int</t>
        </is>
      </c>
      <c r="C41" s="8" t="n">
        <v>0.4424</v>
      </c>
      <c r="D41" s="8" t="n">
        <v>0.4312</v>
      </c>
      <c r="E41" s="9">
        <f>ABS(C41-D41)*100</f>
        <v/>
      </c>
      <c r="F41" s="2" t="n">
        <v>1</v>
      </c>
      <c r="G41" s="10">
        <f>(C41-F41)^2</f>
        <v/>
      </c>
      <c r="H41" s="10">
        <f>(D41-F41)^2</f>
        <v/>
      </c>
      <c r="I41" s="2" t="inlineStr">
        <is>
          <t>clean</t>
        </is>
      </c>
    </row>
    <row r="42">
      <c r="A42" s="2" t="inlineStr">
        <is>
          <t>2026-08-03</t>
        </is>
      </c>
      <c r="B42" s="2" t="inlineStr">
        <is>
          <t>mlb-2026-08-03-stl-nyy</t>
        </is>
      </c>
      <c r="C42" s="8" t="n">
        <v>0.641</v>
      </c>
      <c r="D42" s="8" t="n">
        <v>0.6561</v>
      </c>
      <c r="E42" s="9">
        <f>ABS(C42-D42)*100</f>
        <v/>
      </c>
      <c r="F42" s="2" t="n">
        <v>0</v>
      </c>
      <c r="G42" s="10">
        <f>(C42-F42)^2</f>
        <v/>
      </c>
      <c r="H42" s="10">
        <f>(D42-F42)^2</f>
        <v/>
      </c>
      <c r="I42" s="2" t="inlineStr">
        <is>
          <t>clean</t>
        </is>
      </c>
    </row>
    <row r="43">
      <c r="A43" s="2" t="inlineStr">
        <is>
          <t>2026-08-03</t>
        </is>
      </c>
      <c r="B43" s="2" t="inlineStr">
        <is>
          <t>mlb-2026-08-03-wsh-phi</t>
        </is>
      </c>
      <c r="C43" s="8" t="n">
        <v>0.5744</v>
      </c>
      <c r="D43" s="8" t="n">
        <v>0.5899</v>
      </c>
      <c r="E43" s="9">
        <f>ABS(C43-D43)*100</f>
        <v/>
      </c>
      <c r="F43" s="2" t="n">
        <v>1</v>
      </c>
      <c r="G43" s="10">
        <f>(C43-F43)^2</f>
        <v/>
      </c>
      <c r="H43" s="10">
        <f>(D43-F43)^2</f>
        <v/>
      </c>
      <c r="I43" s="2" t="inlineStr">
        <is>
          <t>clean</t>
        </is>
      </c>
    </row>
    <row r="44">
      <c r="A44" s="2" t="inlineStr">
        <is>
          <t>2026-08-03</t>
        </is>
      </c>
      <c r="B44" s="2" t="inlineStr">
        <is>
          <t>mlb-2026-08-03-lad-chc</t>
        </is>
      </c>
      <c r="C44" s="8" t="n">
        <v>0.4597</v>
      </c>
      <c r="D44" s="8" t="n">
        <v>0.4631</v>
      </c>
      <c r="E44" s="9">
        <f>ABS(C44-D44)*100</f>
        <v/>
      </c>
      <c r="F44" s="2" t="n">
        <v>1</v>
      </c>
      <c r="G44" s="10">
        <f>(C44-F44)^2</f>
        <v/>
      </c>
      <c r="H44" s="10">
        <f>(D44-F44)^2</f>
        <v/>
      </c>
      <c r="I44" s="2" t="inlineStr">
        <is>
          <t>clean</t>
        </is>
      </c>
    </row>
    <row r="45">
      <c r="A45" s="2" t="inlineStr">
        <is>
          <t>2026-08-03</t>
        </is>
      </c>
      <c r="B45" s="2" t="inlineStr">
        <is>
          <t>mlb-2026-08-03-sfg-tex</t>
        </is>
      </c>
      <c r="C45" s="8" t="n">
        <v>0.5049</v>
      </c>
      <c r="D45" s="8" t="n">
        <v>0.5091</v>
      </c>
      <c r="E45" s="9">
        <f>ABS(C45-D45)*100</f>
        <v/>
      </c>
      <c r="F45" s="2" t="n">
        <v>0</v>
      </c>
      <c r="G45" s="10">
        <f>(C45-F45)^2</f>
        <v/>
      </c>
      <c r="H45" s="10">
        <f>(D45-F45)^2</f>
        <v/>
      </c>
      <c r="I45" s="2" t="inlineStr">
        <is>
          <t>clean</t>
        </is>
      </c>
    </row>
    <row r="46">
      <c r="A46" s="2" t="inlineStr">
        <is>
          <t>2026-08-03</t>
        </is>
      </c>
      <c r="B46" s="2" t="inlineStr">
        <is>
          <t>mlb-2026-08-03-tb-col</t>
        </is>
      </c>
      <c r="C46" s="8" t="n">
        <v>0.3991</v>
      </c>
      <c r="D46" s="8" t="n">
        <v>0.3963</v>
      </c>
      <c r="E46" s="9">
        <f>ABS(C46-D46)*100</f>
        <v/>
      </c>
      <c r="F46" s="2" t="n">
        <v>0</v>
      </c>
      <c r="G46" s="10">
        <f>(C46-F46)^2</f>
        <v/>
      </c>
      <c r="H46" s="10">
        <f>(D46-F46)^2</f>
        <v/>
      </c>
      <c r="I46" s="2" t="inlineStr">
        <is>
          <t>clean</t>
        </is>
      </c>
    </row>
    <row r="47">
      <c r="A47" s="2" t="inlineStr">
        <is>
          <t>2026-08-03</t>
        </is>
      </c>
      <c r="B47" s="2" t="inlineStr">
        <is>
          <t>wnba-2026-08-03-sea-nyl</t>
        </is>
      </c>
      <c r="C47" s="8" t="n">
        <v>0.8017</v>
      </c>
      <c r="D47" s="8" t="n">
        <v>0.7405</v>
      </c>
      <c r="E47" s="9">
        <f>ABS(C47-D47)*100</f>
        <v/>
      </c>
      <c r="F47" s="2" t="n">
        <v>1</v>
      </c>
      <c r="G47" s="10">
        <f>(C47-F47)^2</f>
        <v/>
      </c>
      <c r="H47" s="10">
        <f>(D47-F47)^2</f>
        <v/>
      </c>
      <c r="I47" s="2" t="inlineStr">
        <is>
          <t>clean</t>
        </is>
      </c>
    </row>
    <row r="48">
      <c r="A48" s="2" t="inlineStr">
        <is>
          <t>2026-08-03</t>
        </is>
      </c>
      <c r="B48" s="2" t="inlineStr">
        <is>
          <t>arg-2026-08-03-ind-vel</t>
        </is>
      </c>
      <c r="C48" s="8" t="n">
        <v>0.3919</v>
      </c>
      <c r="D48" s="8" t="n">
        <v>0.3751</v>
      </c>
      <c r="E48" s="9">
        <f>ABS(C48-D48)*100</f>
        <v/>
      </c>
      <c r="F48" s="2" t="n">
        <v>1</v>
      </c>
      <c r="G48" s="10">
        <f>(C48-F48)^2</f>
        <v/>
      </c>
      <c r="H48" s="10">
        <f>(D48-F48)^2</f>
        <v/>
      </c>
      <c r="I48" s="2" t="inlineStr">
        <is>
          <t>clean</t>
        </is>
      </c>
    </row>
    <row r="49">
      <c r="A49" s="2" t="inlineStr">
        <is>
          <t>2026-08-03</t>
        </is>
      </c>
      <c r="B49" s="2" t="inlineStr">
        <is>
          <t>arg-2026-08-03-tal-pla</t>
        </is>
      </c>
      <c r="C49" s="8" t="n">
        <v>0.3776</v>
      </c>
      <c r="D49" s="8" t="n">
        <v>0.3776</v>
      </c>
      <c r="E49" s="9">
        <f>ABS(C49-D49)*100</f>
        <v/>
      </c>
      <c r="F49" s="2" t="n">
        <v>0</v>
      </c>
      <c r="G49" s="10">
        <f>(C49-F49)^2</f>
        <v/>
      </c>
      <c r="H49" s="10">
        <f>(D49-F49)^2</f>
        <v/>
      </c>
      <c r="I49" s="2" t="inlineStr">
        <is>
          <t>clean</t>
        </is>
      </c>
    </row>
    <row r="50">
      <c r="A50" s="2" t="inlineStr">
        <is>
          <t>2026-08-06</t>
        </is>
      </c>
      <c r="B50" s="2" t="inlineStr">
        <is>
          <t>mlb-2026-08-06-ath-cin</t>
        </is>
      </c>
      <c r="C50" s="8" t="n">
        <v>0.6104000000000001</v>
      </c>
      <c r="D50" s="8" t="n">
        <v>0.6038</v>
      </c>
      <c r="E50" s="9">
        <f>ABS(C50-D50)*100</f>
        <v/>
      </c>
      <c r="F50" s="2" t="n">
        <v>1</v>
      </c>
      <c r="G50" s="10">
        <f>(C50-F50)^2</f>
        <v/>
      </c>
      <c r="H50" s="10">
        <f>(D50-F50)^2</f>
        <v/>
      </c>
      <c r="I50" s="2" t="inlineStr">
        <is>
          <t>clean</t>
        </is>
      </c>
    </row>
    <row r="51">
      <c r="A51" s="2" t="inlineStr">
        <is>
          <t>2026-08-06</t>
        </is>
      </c>
      <c r="B51" s="2" t="inlineStr">
        <is>
          <t>nfl-2026-08-06-ari-car</t>
        </is>
      </c>
      <c r="C51" s="8" t="n">
        <v>0.5112</v>
      </c>
      <c r="D51" s="8" t="n">
        <v>0.5302</v>
      </c>
      <c r="E51" s="9">
        <f>ABS(C51-D51)*100</f>
        <v/>
      </c>
      <c r="F51" s="2" t="n">
        <v>1</v>
      </c>
      <c r="G51" s="10">
        <f>(C51-F51)^2</f>
        <v/>
      </c>
      <c r="H51" s="10">
        <f>(D51-F51)^2</f>
        <v/>
      </c>
      <c r="I51" s="2" t="inlineStr">
        <is>
          <t>clean</t>
        </is>
      </c>
    </row>
    <row r="52">
      <c r="A52" s="2" t="inlineStr">
        <is>
          <t>2026-08-06</t>
        </is>
      </c>
      <c r="B52" s="2" t="inlineStr">
        <is>
          <t>uecl-2026-08-06-din-bra</t>
        </is>
      </c>
      <c r="C52" s="8" t="n">
        <v>0.898</v>
      </c>
      <c r="D52" s="8" t="n">
        <v>0.898</v>
      </c>
      <c r="E52" s="9">
        <f>ABS(C52-D52)*100</f>
        <v/>
      </c>
      <c r="F52" s="2" t="n">
        <v>1</v>
      </c>
      <c r="G52" s="10">
        <f>(C52-F52)^2</f>
        <v/>
      </c>
      <c r="H52" s="10">
        <f>(D52-F52)^2</f>
        <v/>
      </c>
      <c r="I52" s="2" t="inlineStr">
        <is>
          <t>clean</t>
        </is>
      </c>
    </row>
    <row r="53">
      <c r="A53" s="2" t="inlineStr">
        <is>
          <t>2026-08-10</t>
        </is>
      </c>
      <c r="B53" s="2" t="inlineStr">
        <is>
          <t>mlb-2026-08-10-nym-atl</t>
        </is>
      </c>
      <c r="C53" s="8" t="n">
        <v>0.6088</v>
      </c>
      <c r="D53" s="8" t="n">
        <v>0.5757</v>
      </c>
      <c r="E53" s="9">
        <f>ABS(C53-D53)*100</f>
        <v/>
      </c>
      <c r="F53" s="2" t="n">
        <v>0</v>
      </c>
      <c r="G53" s="10">
        <f>(C53-F53)^2</f>
        <v/>
      </c>
      <c r="H53" s="10">
        <f>(D53-F53)^2</f>
        <v/>
      </c>
      <c r="I53" s="2" t="inlineStr">
        <is>
          <t>clean</t>
        </is>
      </c>
    </row>
    <row r="54">
      <c r="A54" s="2" t="inlineStr">
        <is>
          <t>2026-08-10</t>
        </is>
      </c>
      <c r="B54" s="2" t="inlineStr">
        <is>
          <t>mlb-2026-08-10-bos-tor</t>
        </is>
      </c>
      <c r="C54" s="8" t="n">
        <v>0.4078</v>
      </c>
      <c r="D54" s="8" t="n">
        <v>0.3991</v>
      </c>
      <c r="E54" s="9">
        <f>ABS(C54-D54)*100</f>
        <v/>
      </c>
      <c r="F54" s="2" t="n">
        <v>1</v>
      </c>
      <c r="G54" s="10">
        <f>(C54-F54)^2</f>
        <v/>
      </c>
      <c r="H54" s="10">
        <f>(D54-F54)^2</f>
        <v/>
      </c>
      <c r="I54" s="2" t="inlineStr">
        <is>
          <t>clean</t>
        </is>
      </c>
    </row>
    <row r="55">
      <c r="A55" s="2" t="inlineStr">
        <is>
          <t>2026-08-10</t>
        </is>
      </c>
      <c r="B55" s="2" t="inlineStr">
        <is>
          <t>wnba-2026-08-10-tor-atl</t>
        </is>
      </c>
      <c r="C55" s="8" t="n">
        <v>0.8693</v>
      </c>
      <c r="D55" s="8" t="n">
        <v>0.8693</v>
      </c>
      <c r="E55" s="9">
        <f>ABS(C55-D55)*100</f>
        <v/>
      </c>
      <c r="F55" s="2" t="n">
        <v>1</v>
      </c>
      <c r="G55" s="10">
        <f>(C55-F55)^2</f>
        <v/>
      </c>
      <c r="H55" s="10">
        <f>(D55-F55)^2</f>
        <v/>
      </c>
      <c r="I55" s="2" t="inlineStr">
        <is>
          <t>clean</t>
        </is>
      </c>
    </row>
    <row r="56">
      <c r="A56" s="2" t="inlineStr">
        <is>
          <t>2026-08-10</t>
        </is>
      </c>
      <c r="B56" s="2" t="inlineStr">
        <is>
          <t>wta-2026-08-10-shn-swi</t>
        </is>
      </c>
      <c r="C56" s="8" t="n">
        <v>0.7305</v>
      </c>
      <c r="D56" s="8" t="n">
        <v>0.7289</v>
      </c>
      <c r="E56" s="9">
        <f>ABS(C56-D56)*100</f>
        <v/>
      </c>
      <c r="F56" s="2" t="n">
        <v>1</v>
      </c>
      <c r="G56" s="10">
        <f>(C56-F56)^2</f>
        <v/>
      </c>
      <c r="H56" s="10">
        <f>(D56-F56)^2</f>
        <v/>
      </c>
      <c r="I56" s="2" t="inlineStr">
        <is>
          <t>clean</t>
        </is>
      </c>
    </row>
    <row r="57">
      <c r="A57" s="2" t="inlineStr">
        <is>
          <t>2026-08-10</t>
        </is>
      </c>
      <c r="B57" s="2" t="inlineStr">
        <is>
          <t>arg-2026-08-10-cc-uni</t>
        </is>
      </c>
      <c r="C57" s="8" t="n">
        <v>0.3265</v>
      </c>
      <c r="D57" s="8" t="n">
        <v>0.3265</v>
      </c>
      <c r="E57" s="9">
        <f>ABS(C57-D57)*100</f>
        <v/>
      </c>
      <c r="F57" s="2" t="n">
        <v>0</v>
      </c>
      <c r="G57" s="10">
        <f>(C57-F57)^2</f>
        <v/>
      </c>
      <c r="H57" s="10">
        <f>(D57-F57)^2</f>
        <v/>
      </c>
      <c r="I57" s="2" t="inlineStr">
        <is>
          <t>clean</t>
        </is>
      </c>
    </row>
    <row r="58">
      <c r="A58" s="2" t="inlineStr">
        <is>
          <t>2026-08-10</t>
        </is>
      </c>
      <c r="B58" s="2" t="inlineStr">
        <is>
          <t>mlb-2026-08-10-phi-stl</t>
        </is>
      </c>
      <c r="C58" s="8" t="n">
        <v>0.497</v>
      </c>
      <c r="D58" s="8" t="n">
        <v>0.4767</v>
      </c>
      <c r="E58" s="9">
        <f>ABS(C58-D58)*100</f>
        <v/>
      </c>
      <c r="F58" s="2" t="n">
        <v>0</v>
      </c>
      <c r="G58" s="10">
        <f>(C58-F58)^2</f>
        <v/>
      </c>
      <c r="H58" s="10">
        <f>(D58-F58)^2</f>
        <v/>
      </c>
      <c r="I58" s="2" t="inlineStr">
        <is>
          <t>clean</t>
        </is>
      </c>
    </row>
    <row r="59">
      <c r="A59" s="2" t="inlineStr">
        <is>
          <t>2026-08-10</t>
        </is>
      </c>
      <c r="B59" s="2" t="inlineStr">
        <is>
          <t>mlb-2026-08-10-bal-min</t>
        </is>
      </c>
      <c r="C59" s="8" t="n">
        <v>0.4957</v>
      </c>
      <c r="D59" s="8" t="n">
        <v>0.4814</v>
      </c>
      <c r="E59" s="9">
        <f>ABS(C59-D59)*100</f>
        <v/>
      </c>
      <c r="F59" s="2" t="n">
        <v>1</v>
      </c>
      <c r="G59" s="10">
        <f>(C59-F59)^2</f>
        <v/>
      </c>
      <c r="H59" s="10">
        <f>(D59-F59)^2</f>
        <v/>
      </c>
      <c r="I59" s="2" t="inlineStr">
        <is>
          <t>clean</t>
        </is>
      </c>
    </row>
    <row r="60">
      <c r="A60" s="2" t="inlineStr">
        <is>
          <t>2026-08-10</t>
        </is>
      </c>
      <c r="B60" s="2" t="inlineStr">
        <is>
          <t>mlb-2026-08-10-col-az</t>
        </is>
      </c>
      <c r="C60" s="8" t="n">
        <v>0.6313</v>
      </c>
      <c r="D60" s="8" t="n">
        <v>0.6526999999999999</v>
      </c>
      <c r="E60" s="9">
        <f>ABS(C60-D60)*100</f>
        <v/>
      </c>
      <c r="F60" s="2" t="n">
        <v>1</v>
      </c>
      <c r="G60" s="10">
        <f>(C60-F60)^2</f>
        <v/>
      </c>
      <c r="H60" s="10">
        <f>(D60-F60)^2</f>
        <v/>
      </c>
      <c r="I60" s="2" t="inlineStr">
        <is>
          <t>clean</t>
        </is>
      </c>
    </row>
    <row r="61">
      <c r="A61" s="2" t="inlineStr">
        <is>
          <t>2026-08-10</t>
        </is>
      </c>
      <c r="B61" s="2" t="inlineStr">
        <is>
          <t>mlb-2026-08-10-tb-ath</t>
        </is>
      </c>
      <c r="C61" s="8" t="n">
        <v>0.4057</v>
      </c>
      <c r="D61" s="8" t="n">
        <v>0.4074</v>
      </c>
      <c r="E61" s="9">
        <f>ABS(C61-D61)*100</f>
        <v/>
      </c>
      <c r="F61" s="2" t="n">
        <v>0</v>
      </c>
      <c r="G61" s="10">
        <f>(C61-F61)^2</f>
        <v/>
      </c>
      <c r="H61" s="10">
        <f>(D61-F61)^2</f>
        <v/>
      </c>
      <c r="I61" s="2" t="inlineStr">
        <is>
          <t>clean</t>
        </is>
      </c>
    </row>
    <row r="62">
      <c r="A62" s="2" t="inlineStr">
        <is>
          <t>2026-08-10</t>
        </is>
      </c>
      <c r="B62" s="2" t="inlineStr">
        <is>
          <t>mlb-2026-08-10-hou-sf</t>
        </is>
      </c>
      <c r="C62" s="8" t="n">
        <v>0.411</v>
      </c>
      <c r="D62" s="8" t="n">
        <v>0.4162</v>
      </c>
      <c r="E62" s="9">
        <f>ABS(C62-D62)*100</f>
        <v/>
      </c>
      <c r="F62" s="2" t="n">
        <v>0</v>
      </c>
      <c r="G62" s="10">
        <f>(C62-F62)^2</f>
        <v/>
      </c>
      <c r="H62" s="10">
        <f>(D62-F62)^2</f>
        <v/>
      </c>
      <c r="I62" s="2" t="inlineStr">
        <is>
          <t>clean</t>
        </is>
      </c>
    </row>
    <row r="63">
      <c r="A63" s="2" t="inlineStr">
        <is>
          <t>2026-08-10</t>
        </is>
      </c>
      <c r="B63" s="2" t="inlineStr">
        <is>
          <t>mlb-2026-08-10-tex-laa</t>
        </is>
      </c>
      <c r="C63" s="8" t="n">
        <v>0.4789</v>
      </c>
      <c r="D63" s="8" t="n">
        <v>0.4814</v>
      </c>
      <c r="E63" s="9">
        <f>ABS(C63-D63)*100</f>
        <v/>
      </c>
      <c r="F63" s="2" t="n">
        <v>0</v>
      </c>
      <c r="G63" s="10">
        <f>(C63-F63)^2</f>
        <v/>
      </c>
      <c r="H63" s="10">
        <f>(D63-F63)^2</f>
        <v/>
      </c>
      <c r="I63" s="2" t="inlineStr">
        <is>
          <t>clean</t>
        </is>
      </c>
    </row>
    <row r="64">
      <c r="A64" s="2" t="inlineStr">
        <is>
          <t>2026-08-10</t>
        </is>
      </c>
      <c r="B64" s="2" t="inlineStr">
        <is>
          <t>wta-2026-08-10-ale-svi</t>
        </is>
      </c>
      <c r="C64" s="8" t="n">
        <v>0.6999</v>
      </c>
      <c r="D64" s="8" t="n">
        <v>0.6801</v>
      </c>
      <c r="E64" s="9">
        <f>ABS(C64-D64)*100</f>
        <v/>
      </c>
      <c r="F64" s="2" t="n">
        <v>1</v>
      </c>
      <c r="G64" s="10">
        <f>(C64-F64)^2</f>
        <v/>
      </c>
      <c r="H64" s="10">
        <f>(D64-F64)^2</f>
        <v/>
      </c>
      <c r="I64" s="2" t="inlineStr">
        <is>
          <t>clean</t>
        </is>
      </c>
    </row>
    <row r="65">
      <c r="A65" s="2" t="inlineStr">
        <is>
          <t>2026-08-11</t>
        </is>
      </c>
      <c r="B65" s="2" t="inlineStr">
        <is>
          <t>mlb-2026-08-11-cle-det</t>
        </is>
      </c>
      <c r="C65" s="8" t="n">
        <v>0.4737</v>
      </c>
      <c r="D65" s="8" t="n">
        <v>0.5372</v>
      </c>
      <c r="E65" s="9">
        <f>ABS(C65-D65)*100</f>
        <v/>
      </c>
      <c r="F65" s="2" t="n">
        <v>1</v>
      </c>
      <c r="G65" s="10">
        <f>(C65-F65)^2</f>
        <v/>
      </c>
      <c r="H65" s="10">
        <f>(D65-F65)^2</f>
        <v/>
      </c>
      <c r="I65" s="2" t="inlineStr">
        <is>
          <t>clean</t>
        </is>
      </c>
    </row>
    <row r="66">
      <c r="A66" s="2" t="inlineStr">
        <is>
          <t>2026-08-11</t>
        </is>
      </c>
      <c r="B66" s="2" t="inlineStr">
        <is>
          <t>mlb-2026-08-11-tb-ath</t>
        </is>
      </c>
      <c r="C66" s="8" t="n">
        <v>0.4042</v>
      </c>
      <c r="D66" s="8" t="n">
        <v>0.3655</v>
      </c>
      <c r="E66" s="9">
        <f>ABS(C66-D66)*100</f>
        <v/>
      </c>
      <c r="F66" s="2" t="n">
        <v>0</v>
      </c>
      <c r="G66" s="10">
        <f>(C66-F66)^2</f>
        <v/>
      </c>
      <c r="H66" s="10">
        <f>(D66-F66)^2</f>
        <v/>
      </c>
      <c r="I66" s="2" t="inlineStr">
        <is>
          <t>clean</t>
        </is>
      </c>
    </row>
    <row r="67">
      <c r="A67" s="2" t="inlineStr">
        <is>
          <t>2026-08-11</t>
        </is>
      </c>
      <c r="B67" s="2" t="inlineStr">
        <is>
          <t>mlb-2026-08-11-sea-nyy</t>
        </is>
      </c>
      <c r="C67" s="8" t="n">
        <v>0.5504</v>
      </c>
      <c r="D67" s="8" t="n">
        <v>0.5454</v>
      </c>
      <c r="E67" s="9">
        <f>ABS(C67-D67)*100</f>
        <v/>
      </c>
      <c r="F67" s="2" t="n">
        <v>1</v>
      </c>
      <c r="G67" s="10">
        <f>(C67-F67)^2</f>
        <v/>
      </c>
      <c r="H67" s="10">
        <f>(D67-F67)^2</f>
        <v/>
      </c>
      <c r="I67" s="2" t="inlineStr">
        <is>
          <t>clean</t>
        </is>
      </c>
    </row>
    <row r="68">
      <c r="A68" s="2" t="inlineStr">
        <is>
          <t>2026-08-11</t>
        </is>
      </c>
      <c r="B68" s="2" t="inlineStr">
        <is>
          <t>mlb-2026-08-11-pit-mia</t>
        </is>
      </c>
      <c r="C68" s="8" t="n">
        <v>0.4751</v>
      </c>
      <c r="D68" s="8" t="n">
        <v>0.4851</v>
      </c>
      <c r="E68" s="9">
        <f>ABS(C68-D68)*100</f>
        <v/>
      </c>
      <c r="F68" s="2" t="n">
        <v>1</v>
      </c>
      <c r="G68" s="10">
        <f>(C68-F68)^2</f>
        <v/>
      </c>
      <c r="H68" s="10">
        <f>(D68-F68)^2</f>
        <v/>
      </c>
      <c r="I68" s="2" t="inlineStr">
        <is>
          <t>clean</t>
        </is>
      </c>
    </row>
    <row r="69">
      <c r="A69" s="2" t="inlineStr">
        <is>
          <t>2026-08-11</t>
        </is>
      </c>
      <c r="B69" s="2" t="inlineStr">
        <is>
          <t>mlb-2026-08-11-nym-atl</t>
        </is>
      </c>
      <c r="C69" s="8" t="n">
        <v>0.6398</v>
      </c>
      <c r="D69" s="8" t="n">
        <v>0.5434</v>
      </c>
      <c r="E69" s="9">
        <f>ABS(C69-D69)*100</f>
        <v/>
      </c>
      <c r="F69" s="2" t="n">
        <v>1</v>
      </c>
      <c r="G69" s="10">
        <f>(C69-F69)^2</f>
        <v/>
      </c>
      <c r="H69" s="10">
        <f>(D69-F69)^2</f>
        <v/>
      </c>
      <c r="I69" s="2" t="inlineStr">
        <is>
          <t>clean</t>
        </is>
      </c>
    </row>
    <row r="70">
      <c r="A70" s="2" t="inlineStr">
        <is>
          <t>2026-08-11</t>
        </is>
      </c>
      <c r="B70" s="2" t="inlineStr">
        <is>
          <t>mlb-2026-08-11-col-az</t>
        </is>
      </c>
      <c r="C70" s="8" t="n">
        <v>0.6277</v>
      </c>
      <c r="D70" s="8" t="n">
        <v>0.622</v>
      </c>
      <c r="E70" s="9">
        <f>ABS(C70-D70)*100</f>
        <v/>
      </c>
      <c r="F70" s="2" t="n">
        <v>0</v>
      </c>
      <c r="G70" s="10">
        <f>(C70-F70)^2</f>
        <v/>
      </c>
      <c r="H70" s="10">
        <f>(D70-F70)^2</f>
        <v/>
      </c>
      <c r="I70" s="2" t="inlineStr">
        <is>
          <t>clean</t>
        </is>
      </c>
    </row>
    <row r="71">
      <c r="A71" s="2" t="inlineStr">
        <is>
          <t>2026-08-11</t>
        </is>
      </c>
      <c r="B71" s="2" t="inlineStr">
        <is>
          <t>lc-2026-08-11-pum-clb</t>
        </is>
      </c>
      <c r="C71" s="8" t="n">
        <v>0.6123</v>
      </c>
      <c r="D71" s="8" t="n">
        <v>0.6123</v>
      </c>
      <c r="E71" s="9">
        <f>ABS(C71-D71)*100</f>
        <v/>
      </c>
      <c r="F71" s="2" t="n">
        <v>0</v>
      </c>
      <c r="G71" s="10">
        <f>(C71-F71)^2</f>
        <v/>
      </c>
      <c r="H71" s="10">
        <f>(D71-F71)^2</f>
        <v/>
      </c>
      <c r="I71" s="2" t="inlineStr">
        <is>
          <t>clean</t>
        </is>
      </c>
    </row>
    <row r="72">
      <c r="A72" s="2" t="inlineStr">
        <is>
          <t>2026-08-11</t>
        </is>
      </c>
      <c r="B72" s="2" t="inlineStr">
        <is>
          <t>lc-2026-08-11-jua-rsl</t>
        </is>
      </c>
      <c r="C72" s="8" t="n">
        <v>0.5406</v>
      </c>
      <c r="D72" s="8" t="n">
        <v>0.5504</v>
      </c>
      <c r="E72" s="9">
        <f>ABS(C72-D72)*100</f>
        <v/>
      </c>
      <c r="F72" s="2" t="n">
        <v>1</v>
      </c>
      <c r="G72" s="10">
        <f>(C72-F72)^2</f>
        <v/>
      </c>
      <c r="H72" s="10">
        <f>(D72-F72)^2</f>
        <v/>
      </c>
      <c r="I72" s="2" t="inlineStr">
        <is>
          <t>clean</t>
        </is>
      </c>
    </row>
    <row r="73">
      <c r="A73" s="2" t="inlineStr">
        <is>
          <t>2026-08-11</t>
        </is>
      </c>
      <c r="B73" s="2" t="inlineStr">
        <is>
          <t>ucl-2026-08-11-spa-lyo</t>
        </is>
      </c>
      <c r="C73" s="8" t="n">
        <v>0.678</v>
      </c>
      <c r="D73" s="8" t="n">
        <v>0.7233000000000001</v>
      </c>
      <c r="E73" s="9">
        <f>ABS(C73-D73)*100</f>
        <v/>
      </c>
      <c r="F73" s="2" t="n">
        <v>1</v>
      </c>
      <c r="G73" s="10">
        <f>(C73-F73)^2</f>
        <v/>
      </c>
      <c r="H73" s="10">
        <f>(D73-F73)^2</f>
        <v/>
      </c>
      <c r="I73" s="2" t="inlineStr">
        <is>
          <t>clean</t>
        </is>
      </c>
    </row>
    <row r="74">
      <c r="A74" s="2" t="inlineStr">
        <is>
          <t>2026-08-11</t>
        </is>
      </c>
      <c r="B74" s="2" t="inlineStr">
        <is>
          <t>ucl-2026-08-11-fen-stu</t>
        </is>
      </c>
      <c r="C74" s="8" t="n">
        <v>0.2391</v>
      </c>
      <c r="D74" s="8" t="n">
        <v>0.2474</v>
      </c>
      <c r="E74" s="9">
        <f>ABS(C74-D74)*100</f>
        <v/>
      </c>
      <c r="F74" s="2" t="n">
        <v>0</v>
      </c>
      <c r="G74" s="10">
        <f>(C74-F74)^2</f>
        <v/>
      </c>
      <c r="H74" s="10">
        <f>(D74-F74)^2</f>
        <v/>
      </c>
      <c r="I74" s="2" t="inlineStr">
        <is>
          <t>clean</t>
        </is>
      </c>
    </row>
    <row r="75">
      <c r="A75" s="2" t="inlineStr">
        <is>
          <t>2026-08-12</t>
        </is>
      </c>
      <c r="B75" s="2" t="inlineStr">
        <is>
          <t>mlb-2026-08-12-nym-atl</t>
        </is>
      </c>
      <c r="C75" s="8" t="n">
        <v>0.6152</v>
      </c>
      <c r="D75" s="8" t="n">
        <v>0.6152</v>
      </c>
      <c r="E75" s="9">
        <f>ABS(C75-D75)*100</f>
        <v/>
      </c>
      <c r="F75" s="2" t="n">
        <v>1</v>
      </c>
      <c r="G75" s="10">
        <f>(C75-F75)^2</f>
        <v/>
      </c>
      <c r="H75" s="10">
        <f>(D75-F75)^2</f>
        <v/>
      </c>
      <c r="I75" s="2" t="inlineStr">
        <is>
          <t>clean</t>
        </is>
      </c>
    </row>
    <row r="76">
      <c r="A76" s="2" t="inlineStr">
        <is>
          <t>2026-08-12</t>
        </is>
      </c>
      <c r="B76" s="2" t="inlineStr">
        <is>
          <t>atp-2026-08-12-jod-nak</t>
        </is>
      </c>
      <c r="C76" s="8" t="n">
        <v>0.3452</v>
      </c>
      <c r="D76" s="8" t="n">
        <v>0.331</v>
      </c>
      <c r="E76" s="9">
        <f>ABS(C76-D76)*100</f>
        <v/>
      </c>
      <c r="F76" s="2" t="n">
        <v>1</v>
      </c>
      <c r="G76" s="10">
        <f>(C76-F76)^2</f>
        <v/>
      </c>
      <c r="H76" s="10">
        <f>(D76-F76)^2</f>
        <v/>
      </c>
      <c r="I76" s="2" t="inlineStr">
        <is>
          <t>clean</t>
        </is>
      </c>
    </row>
    <row r="77">
      <c r="A77" s="2" t="inlineStr">
        <is>
          <t>2026-08-12</t>
        </is>
      </c>
      <c r="B77" s="2" t="inlineStr">
        <is>
          <t>mlb-2026-08-12-sea-nyy</t>
        </is>
      </c>
      <c r="C77" s="8" t="n">
        <v>0.5414</v>
      </c>
      <c r="D77" s="8" t="n">
        <v>0.547</v>
      </c>
      <c r="E77" s="9">
        <f>ABS(C77-D77)*100</f>
        <v/>
      </c>
      <c r="F77" s="2" t="n">
        <v>1</v>
      </c>
      <c r="G77" s="10">
        <f>(C77-F77)^2</f>
        <v/>
      </c>
      <c r="H77" s="10">
        <f>(D77-F77)^2</f>
        <v/>
      </c>
      <c r="I77" s="2" t="inlineStr">
        <is>
          <t>clean</t>
        </is>
      </c>
    </row>
    <row r="78">
      <c r="A78" s="2" t="inlineStr">
        <is>
          <t>2026-08-12</t>
        </is>
      </c>
      <c r="B78" s="2" t="inlineStr">
        <is>
          <t>mlb-2026-08-12-cle-det</t>
        </is>
      </c>
      <c r="C78" s="8" t="n">
        <v>0.5377</v>
      </c>
      <c r="D78" s="8" t="n">
        <v>0.5502</v>
      </c>
      <c r="E78" s="9">
        <f>ABS(C78-D78)*100</f>
        <v/>
      </c>
      <c r="F78" s="2" t="n">
        <v>0</v>
      </c>
      <c r="G78" s="10">
        <f>(C78-F78)^2</f>
        <v/>
      </c>
      <c r="H78" s="10">
        <f>(D78-F78)^2</f>
        <v/>
      </c>
      <c r="I78" s="2" t="inlineStr">
        <is>
          <t>clean</t>
        </is>
      </c>
    </row>
    <row r="79">
      <c r="A79" s="2" t="inlineStr">
        <is>
          <t>2026-08-12</t>
        </is>
      </c>
      <c r="B79" s="2" t="inlineStr">
        <is>
          <t>mlb-2026-08-12-pit-mia</t>
        </is>
      </c>
      <c r="C79" s="8" t="n">
        <v>0.516</v>
      </c>
      <c r="D79" s="8" t="n">
        <v>0.5237000000000001</v>
      </c>
      <c r="E79" s="9">
        <f>ABS(C79-D79)*100</f>
        <v/>
      </c>
      <c r="F79" s="2" t="n">
        <v>1</v>
      </c>
      <c r="G79" s="10">
        <f>(C79-F79)^2</f>
        <v/>
      </c>
      <c r="H79" s="10">
        <f>(D79-F79)^2</f>
        <v/>
      </c>
      <c r="I79" s="2" t="inlineStr">
        <is>
          <t>clean</t>
        </is>
      </c>
    </row>
    <row r="80">
      <c r="A80" s="2" t="inlineStr">
        <is>
          <t>2026-08-12</t>
        </is>
      </c>
      <c r="B80" s="2" t="inlineStr">
        <is>
          <t>mlb-2026-08-12-chc-wsh</t>
        </is>
      </c>
      <c r="C80" s="8" t="n">
        <v>0.4112</v>
      </c>
      <c r="D80" s="8" t="n">
        <v>0.4051</v>
      </c>
      <c r="E80" s="9">
        <f>ABS(C80-D80)*100</f>
        <v/>
      </c>
      <c r="F80" s="2" t="n">
        <v>0</v>
      </c>
      <c r="G80" s="10">
        <f>(C80-F80)^2</f>
        <v/>
      </c>
      <c r="H80" s="10">
        <f>(D80-F80)^2</f>
        <v/>
      </c>
      <c r="I80" s="2" t="inlineStr">
        <is>
          <t>clean</t>
        </is>
      </c>
    </row>
    <row r="81">
      <c r="A81" s="2" t="inlineStr">
        <is>
          <t>2026-08-12</t>
        </is>
      </c>
      <c r="B81" s="2" t="inlineStr">
        <is>
          <t>mlb-2026-08-12-bos-tor</t>
        </is>
      </c>
      <c r="C81" s="8" t="n">
        <v>0.4629</v>
      </c>
      <c r="D81" s="8" t="n">
        <v>0.4604</v>
      </c>
      <c r="E81" s="9">
        <f>ABS(C81-D81)*100</f>
        <v/>
      </c>
      <c r="F81" s="2" t="n">
        <v>1</v>
      </c>
      <c r="G81" s="10">
        <f>(C81-F81)^2</f>
        <v/>
      </c>
      <c r="H81" s="10">
        <f>(D81-F81)^2</f>
        <v/>
      </c>
      <c r="I81" s="2" t="inlineStr">
        <is>
          <t>clean</t>
        </is>
      </c>
    </row>
    <row r="82">
      <c r="A82" s="2" t="inlineStr">
        <is>
          <t>2026-08-12</t>
        </is>
      </c>
      <c r="B82" s="2" t="inlineStr">
        <is>
          <t>mlb-2026-08-12-cin-cws</t>
        </is>
      </c>
      <c r="C82" s="8" t="n">
        <v>0.5725</v>
      </c>
      <c r="D82" s="8" t="n">
        <v>0.574</v>
      </c>
      <c r="E82" s="9">
        <f>ABS(C82-D82)*100</f>
        <v/>
      </c>
      <c r="F82" s="2" t="n">
        <v>1</v>
      </c>
      <c r="G82" s="10">
        <f>(C82-F82)^2</f>
        <v/>
      </c>
      <c r="H82" s="10">
        <f>(D82-F82)^2</f>
        <v/>
      </c>
      <c r="I82" s="2" t="inlineStr">
        <is>
          <t>clean</t>
        </is>
      </c>
    </row>
    <row r="83">
      <c r="A83" s="2" t="inlineStr">
        <is>
          <t>2026-08-12</t>
        </is>
      </c>
      <c r="B83" s="2" t="inlineStr">
        <is>
          <t>mlb-2026-08-12-tex-laa</t>
        </is>
      </c>
      <c r="C83" s="8" t="n">
        <v>0.449</v>
      </c>
      <c r="D83" s="8" t="n">
        <v>0.4442</v>
      </c>
      <c r="E83" s="9">
        <f>ABS(C83-D83)*100</f>
        <v/>
      </c>
      <c r="F83" s="2" t="n">
        <v>1</v>
      </c>
      <c r="G83" s="10">
        <f>(C83-F83)^2</f>
        <v/>
      </c>
      <c r="H83" s="10">
        <f>(D83-F83)^2</f>
        <v/>
      </c>
      <c r="I83" s="2" t="inlineStr">
        <is>
          <t>clean</t>
        </is>
      </c>
    </row>
    <row r="84">
      <c r="A84" s="2" t="inlineStr">
        <is>
          <t>2026-08-12</t>
        </is>
      </c>
      <c r="B84" s="2" t="inlineStr">
        <is>
          <t>mlb-2026-08-12-kc-lad</t>
        </is>
      </c>
      <c r="C84" s="8" t="n">
        <v>0.6801</v>
      </c>
      <c r="D84" s="8" t="n">
        <v>0.6768</v>
      </c>
      <c r="E84" s="9">
        <f>ABS(C84-D84)*100</f>
        <v/>
      </c>
      <c r="F84" s="2" t="n">
        <v>1</v>
      </c>
      <c r="G84" s="10">
        <f>(C84-F84)^2</f>
        <v/>
      </c>
      <c r="H84" s="10">
        <f>(D84-F84)^2</f>
        <v/>
      </c>
      <c r="I84" s="2" t="inlineStr">
        <is>
          <t>clean</t>
        </is>
      </c>
    </row>
    <row r="85">
      <c r="A85" s="2" t="inlineStr">
        <is>
          <t>2026-08-12</t>
        </is>
      </c>
      <c r="B85" s="2" t="inlineStr">
        <is>
          <t>wta-2026-08-12-svi-swi</t>
        </is>
      </c>
      <c r="C85" s="8" t="n">
        <v>0.6928</v>
      </c>
      <c r="D85" s="8" t="n">
        <v>0.6782</v>
      </c>
      <c r="E85" s="9">
        <f>ABS(C85-D85)*100</f>
        <v/>
      </c>
      <c r="F85" s="2" t="n">
        <v>1</v>
      </c>
      <c r="G85" s="10">
        <f>(C85-F85)^2</f>
        <v/>
      </c>
      <c r="H85" s="10">
        <f>(D85-F85)^2</f>
        <v/>
      </c>
      <c r="I85" s="2" t="inlineStr">
        <is>
          <t>clean</t>
        </is>
      </c>
    </row>
    <row r="86">
      <c r="A86" s="2" t="inlineStr">
        <is>
          <t>2026-08-12</t>
        </is>
      </c>
      <c r="B86" s="2" t="inlineStr">
        <is>
          <t>wnba-2026-08-12-tor-dal</t>
        </is>
      </c>
      <c r="C86" s="8" t="n">
        <v>0.7941</v>
      </c>
      <c r="D86" s="8" t="n">
        <v>0.8085</v>
      </c>
      <c r="E86" s="9">
        <f>ABS(C86-D86)*100</f>
        <v/>
      </c>
      <c r="F86" s="2" t="n">
        <v>1</v>
      </c>
      <c r="G86" s="10">
        <f>(C86-F86)^2</f>
        <v/>
      </c>
      <c r="H86" s="10">
        <f>(D86-F86)^2</f>
        <v/>
      </c>
      <c r="I86" s="2" t="inlineStr">
        <is>
          <t>clean</t>
        </is>
      </c>
    </row>
    <row r="87">
      <c r="A87" s="2" t="inlineStr">
        <is>
          <t>2026-08-12</t>
        </is>
      </c>
      <c r="B87" s="2" t="inlineStr">
        <is>
          <t>wnba-2026-08-12-chi-gsv</t>
        </is>
      </c>
      <c r="C87" s="8" t="n">
        <v>0.7954</v>
      </c>
      <c r="D87" s="8" t="n">
        <v>0.7909</v>
      </c>
      <c r="E87" s="9">
        <f>ABS(C87-D87)*100</f>
        <v/>
      </c>
      <c r="F87" s="2" t="n">
        <v>1</v>
      </c>
      <c r="G87" s="10">
        <f>(C87-F87)^2</f>
        <v/>
      </c>
      <c r="H87" s="10">
        <f>(D87-F87)^2</f>
        <v/>
      </c>
      <c r="I87" s="2" t="inlineStr">
        <is>
          <t>clean</t>
        </is>
      </c>
    </row>
    <row r="88">
      <c r="A88" s="2" t="inlineStr">
        <is>
          <t>2026-08-12</t>
        </is>
      </c>
      <c r="B88" s="2" t="inlineStr">
        <is>
          <t>lib-2026-08-12-cer-pal</t>
        </is>
      </c>
      <c r="C88" s="8" t="n">
        <v>0.7599</v>
      </c>
      <c r="D88" s="8" t="n">
        <v>0.7389</v>
      </c>
      <c r="E88" s="9">
        <f>ABS(C88-D88)*100</f>
        <v/>
      </c>
      <c r="F88" s="2" t="n">
        <v>0</v>
      </c>
      <c r="G88" s="10">
        <f>(C88-F88)^2</f>
        <v/>
      </c>
      <c r="H88" s="10">
        <f>(D88-F88)^2</f>
        <v/>
      </c>
      <c r="I88" s="2" t="inlineStr">
        <is>
          <t>flagged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39">
      <c r="A39" s="21" t="inlineStr">
        <is>
          <t>[WORKED] PIT @ CIN: 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40">
      <c r="A40" s="21" t="inlineStr">
        <is>
          <t>[WORKED] STL @ NYY (7:05 PM ET Mon): 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41">
      <c r="A41" s="21" t="inlineStr">
        <is>
          <t>[WORKED] SFG @ TEX (8:05 PM ET Mon): NOT FILLED - TEX never reached plus-money (observed -105 to -125 across books; +103 trigger unreached), then lost 1-5 with five errors behind Webb's 6 shutout IP. Second unfilled loser dodged on the day.</t>
        </is>
      </c>
    </row>
    <row r="42">
      <c r="A42" s="21" t="inlineStr">
        <is>
          <t>[WORKED] SDP @ AZ (9:40 PM ET Mon): 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43">
      <c r="A43" s="21" t="inlineStr">
        <is>
          <t>[WORKED] ATH @ CIN (start time unverified; typical 12:35 PM ET getaway): NOT FILLED: CIN drifted our way (-171 open -&gt; -158 at first pitch) but never reached the -147 (1.679) bar; best documented 1.633. CIN won 6-5, and a 1.679 fill would have carried +2.8% raw CLV vs the close - right side, right price demand, market never paid it. Reverse line movement toward the road dog noted pregame; the bar held anyway.</t>
        </is>
      </c>
    </row>
    <row r="44">
      <c r="A44" s="21" t="inlineStr">
        <is>
          <t>[WORKED] Dinamo Minsk @ Braga (UECL Q3 leg 1; kickoff ~3:00-3:45 PM ET assumed): NOT FILLED: Braga sat 1.10-1.11 everywhere pre-match; the 1.141 re-verified quote never existed. Braga won 1-0. The demotion logic validated exactly: on extreme favorites the only 'fills' available are cross-book noise, and even that noise stayed under 4 cents.</t>
        </is>
      </c>
    </row>
    <row r="45">
      <c r="A45" s="21" t="inlineStr">
        <is>
          <t>[WORKED] ARI @ CAR, Hall of Fame Game (8:00 PM ET Thu, Canton - neutral site): NOT FILLED by one cent of juice: ARI +1.5 reached ~-115 game-day vs the -114 bar - and then LOST (CAR won by exactly 3 on the final play). The near-miss dodged a loser; fill discipline is net positive on the card (two would-have-won fills never reached target, the one would-have-lost fill missed by a cent).</t>
        </is>
      </c>
    </row>
    <row r="46">
      <c r="A46" s="21" t="inlineStr">
        <is>
          <t>[WORKED] ARI @ CAR (HOF Game): Suppression validated on process with an ironic outcome: the suppressed leg (ARI +1.5 -&gt; +7.5) would have back-doored a win (lost by 3), but the game produced 63 points against a 34.5 total - preseason margins have NO key-number structure, which is precisely why the leg had no business existing. Note-only; engine gating change still deferred (Walters rule).</t>
        </is>
      </c>
    </row>
    <row r="47">
      <c r="A47" s="21" t="inlineStr">
        <is>
          <t>[WORKED] Shnaider vs Swiatek, WTA Toronto QF (7:00 PM ET Mon): NOT FILLED: no book ever printed 1.403+ (-285/-300 everywhere). Swiatek won 6-2 6-1 - a missed winner, which is the cost side of the same discipline that has dodged three losers. The bar cuts both ways; that is the design.</t>
        </is>
      </c>
    </row>
    <row r="48">
      <c r="A48" s="21" t="inlineStr">
        <is>
          <t>[WORKED] COL @ AZ (Chase Field, evening - exact time TBC): NOT FILLED: line moved AWAY from the order all day (-179 -&gt; -190s; the -164 outlier board never reached -160). Game in progress at grading - outcome irrelevant to an unfilled order.</t>
        </is>
      </c>
    </row>
    <row r="49">
      <c r="A49" s="21" t="inlineStr">
        <is>
          <t>[WORKED] KC @ LAD (10:10 PM ET Mon - Skubal home debut): VALIDATED, with the sharpest twist yet: the definitive Monday close was LAD -325/-330 (FanDuel + 'other oddsmakers' + Polymarket 74c all agree near 76%) - the -160 board we saw was itself a stale/erroneous print. The conflict was real, and this time the BOOK leg was the garbage and the prediction market was near truth (mirror of the Aug-1 stale 'CHC 1.62'). The rule doesn't care which source lies - it refuses the disagreement. LAD needed a 7th-inning rally to win 6-5. 7-for-7 on refusals/flags.</t>
        </is>
      </c>
    </row>
    <row r="50">
      <c r="A50" s="21" t="inlineStr">
        <is>
          <t>[WORKED] CLE @ DET (6:40 PM ET Tue, Comerica): NOT FILLED - the market ran the other way, hard: DET +113 Monday night -&gt; -120/-121 favorite at first pitch. No +116 ever printed. DET won 6-4, so another would-have-won missed - but the swing's SIZE is the lesson: an overnight board can embed a different starting pitcher than game-day reality (Drew Anderson started). Listed-pitcher rule: every future order names its assumed starters, and a change voids the premise (Skenes-scratch lesson, Jul 30, finally codified).</t>
        </is>
      </c>
    </row>
    <row r="51">
      <c r="A51" s="21" t="inlineStr">
        <is>
          <t>[WORKED] TB @ ATH (9:40 PM ET Tue): NOT FILLED - TB shortened -146 -&gt; -180 and won 12-4. Fourth straight unfilled order whose side won. Tempting to call the bar too high; the ledger says otherwise - the only two orders that DID fill both carried negative CLV and went 1-1. Unfilled winners are the visible cost of refusing bad prices; filled losers are the invisible cost of chasing. No parameter change (Walters rule).</t>
        </is>
      </c>
    </row>
    <row r="52">
      <c r="A52" s="21" t="inlineStr">
        <is>
          <t>[WORKED] KC @ LAD (10:10 PM ET Tue): Book LAD -285 vs Polymarket 72c: nearly agreeing today, but cross-source best prices still net -0.99% hold - the rule is binary and fires the same on small conflicts as wide ones (that binariness is the Cubs-3.7pt lesson). 6th application. Monday's refusal grades at its close next cycle alongside this one. || SETTLED: close LAD -275 (~70-71% no-vig) vs Polymarket 72c - the sources converged AT the close, meaning no exploitable edge ever existed. LAD won 5-4. Refusals now 8-for-8.</t>
        </is>
      </c>
    </row>
    <row r="53">
      <c r="A53" s="21" t="inlineStr">
        <is>
          <t>[WORKED] NYM @ ATL (7:15 PM ET Wed; PITCHERS: Thornton vs Mahle): NOT FILLED - the board moved the wrong way all day (-156 -&gt; -158/-175 close); -150 never printed. ATL won 6-3: the FIFTH straight unfilled order whose side won. Pattern reading: our fairs are directionally right and the market agrees too fast to pay our price - which is what near-parity Brier with the close predicts. The bar stays (Walters rule); the edge has to come from being earlier, not looser.</t>
        </is>
      </c>
    </row>
    <row r="54">
      <c r="A54" s="21" t="inlineStr">
        <is>
          <t>[WORKED] ATP Montreal SF: Jodar vs Nakashima (6:00 PM ET Wed): FILL CONDITION MET VIA CROSS-BOOK SHOPPING - AND WON. +200 (&gt;= the +197 trigger) was genuinely available at a book pre-match while Dimers' board showed +188; Nakashima won 7-6(3) 6-4. At the 2.969 floor vs the 2.94 close: raw CLV +1.0%, no-vig -1.7% - the first fill in this ledger with POSITIVE RAW CLV and the best fill-CLV recorded (prior fills: -5.4% and -3.1% no-vig), precisely because it came from price dispersion across books (allowed) rather than line drift (forbidden). The drift-vs-shopping distinction now has favorable evidence on the shopping side. Paper grade, stake 0 - backup order, user bets headline only.</t>
        </is>
      </c>
    </row>
    <row r="55">
      <c r="A55" s="21" t="inlineStr">
        <is>
          <t>[WORKED] SEA @ NYY (7:05 PM ET Wed; PITCHERS: Miller vs Warren): NOT FILLED - opened -119 and firmed to -131; the -112 trigger never printed. NYY won 10-5 anyway (sixth unfilled winner if you count this one alongside the ATL streak).</t>
        </is>
      </c>
    </row>
    <row r="56">
      <c r="A56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57">
      <c r="A57" s="21" t="inlineStr">
        <is>
          <t>[DIDN'T] WSH @ ATL: 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58">
      <c r="A58" s="21" t="inlineStr">
        <is>
          <t>[DIDN'T] BOS @ LAD (Sunday Night Baseball): VOID - cancelled at 7:03 PM ET with first pitch 7:20 PM ET: no time to re-verify the line, and every price on the card is a morning-stale snapshot. An unsupervisable order is not an order.</t>
        </is>
      </c>
    </row>
    <row r="59">
      <c r="A59" s="21" t="inlineStr">
        <is>
          <t>[DIDN'T] MIA @ NYM: VOID - shipped after the 1:40 PM ET first pitch (same process miss as the headline order). No bet placed, none should be.</t>
        </is>
      </c>
    </row>
    <row r="60">
      <c r="A60" s="21" t="inlineStr">
        <is>
          <t>[DIDN'T] Calibration: flagged-source fair lines (conflict / date trap / low-confidence close) missed the no-vig close by 4.46 pts on average vs 1.53 pts for clean sources — source hygiene IS calibration.</t>
        </is>
      </c>
    </row>
    <row r="62">
      <c r="A62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2026-08-13T19:37:37Z</dcterms:created>
  <dcterms:modified xsi:type="dcterms:W3CDTF">2026-08-13T19:37:37Z</dcterms:modified>
</cp:coreProperties>
</file>