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order_unfilled</t>
        </is>
      </c>
      <c r="E10" s="3" t="n">
        <v>2.231</v>
      </c>
      <c r="F10" s="3" t="n"/>
      <c r="G10" s="4" t="n">
        <v>0</v>
      </c>
      <c r="H10" s="2" t="inlineStr">
        <is>
          <t>no fill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worked</t>
        </is>
      </c>
      <c r="N10" s="2" t="inlineStr">
        <is>
          <t>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1.888</v>
      </c>
      <c r="F11" s="3" t="n"/>
      <c r="G11" s="4" t="n">
        <v>0</v>
      </c>
      <c r="H11" s="2" t="inlineStr">
        <is>
          <t>superseded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superseded</t>
        </is>
      </c>
      <c r="N11" s="2" t="inlineStr">
        <is>
          <t>Superseded by the full-card re-rank (PIT side fell out of the top orders).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validated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worked</t>
        </is>
      </c>
      <c r="N12" s="2" t="inlineStr">
        <is>
          <t>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validated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worked</t>
        </is>
      </c>
      <c r="N13" s="2" t="inlineStr">
        <is>
          <t>Braves 8-3. Polymarket-only board stayed unpriced per the 0.45-sharpness demotion; no book close collected for this game.</t>
        </is>
      </c>
    </row>
    <row r="14">
      <c r="A14" s="2" t="inlineStr">
        <is>
          <t>2026-08-01</t>
        </is>
      </c>
      <c r="B14" s="2" t="inlineStr">
        <is>
          <t>PHI @ BAL</t>
        </is>
      </c>
      <c r="C14" s="2" t="inlineStr">
        <is>
          <t>Orioles ML</t>
        </is>
      </c>
      <c r="D14" s="2" t="inlineStr">
        <is>
          <t>order_unfilled</t>
        </is>
      </c>
      <c r="E14" s="3" t="n">
        <v>2.225</v>
      </c>
      <c r="F14" s="3" t="n"/>
      <c r="G14" s="4" t="n">
        <v>0</v>
      </c>
      <c r="H14" s="2" t="inlineStr">
        <is>
          <t>no fill</t>
        </is>
      </c>
      <c r="I14" s="5" t="n">
        <v>0</v>
      </c>
      <c r="J14" s="6" t="n"/>
      <c r="K14" s="6" t="n"/>
      <c r="L14" s="2" t="inlineStr">
        <is>
          <t>clean</t>
        </is>
      </c>
      <c r="M14" s="2" t="inlineStr">
        <is>
          <t>worked</t>
        </is>
      </c>
      <c r="N14" s="2" t="inlineStr">
        <is>
          <t>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15">
      <c r="A15" s="2" t="inlineStr">
        <is>
          <t>2026-08-01</t>
        </is>
      </c>
      <c r="B15" s="2" t="inlineStr">
        <is>
          <t>SEA @ POR (MLS)</t>
        </is>
      </c>
      <c r="C15" s="2" t="inlineStr">
        <is>
          <t>Timbers ML</t>
        </is>
      </c>
      <c r="D15" s="2" t="inlineStr">
        <is>
          <t>ticket</t>
        </is>
      </c>
      <c r="E15" s="3" t="n">
        <v>2.273</v>
      </c>
      <c r="F15" s="3" t="n">
        <v>2.273</v>
      </c>
      <c r="G15" s="4" t="n">
        <v>0</v>
      </c>
      <c r="H15" s="2" t="inlineStr">
        <is>
          <t>won</t>
        </is>
      </c>
      <c r="I15" s="5" t="n">
        <v>0</v>
      </c>
      <c r="J15" s="6" t="n">
        <v>0.1088</v>
      </c>
      <c r="K15" s="6" t="n">
        <v>0.0451</v>
      </c>
      <c r="L15" s="2" t="inlineStr">
        <is>
          <t>clean</t>
        </is>
      </c>
      <c r="M15" s="2" t="inlineStr">
        <is>
          <t>worked</t>
        </is>
      </c>
      <c r="N15" s="2" t="inlineStr">
        <is>
          <t>WON - Portland 2-1 Seattle. Graded at the pre-registered listed price 2.273 (prediction-market 44c; post-hoc fill verification impossible, page 403s). bet365 close 2.05/3.80/3.00: raw CLV +10.9%, no-vig CLV +4.5% - first positive-CLV ticket. User stake unconfirmed (no ticket screenshot); tracker computes P&amp;L at your unit stake.</t>
        </is>
      </c>
    </row>
    <row r="16">
      <c r="A16" s="2" t="inlineStr">
        <is>
          <t>2026-08-02</t>
        </is>
      </c>
      <c r="B16" s="2" t="inlineStr">
        <is>
          <t>WSH @ ATL</t>
        </is>
      </c>
      <c r="C16" s="2" t="inlineStr">
        <is>
          <t>Braves ML</t>
        </is>
      </c>
      <c r="D16" s="2" t="inlineStr">
        <is>
          <t>order_open</t>
        </is>
      </c>
      <c r="E16" s="3" t="n">
        <v>1.866</v>
      </c>
      <c r="F16" s="3" t="n"/>
      <c r="G16" s="4" t="n">
        <v>0</v>
      </c>
      <c r="H16" s="2" t="inlineStr">
        <is>
          <t>pending</t>
        </is>
      </c>
      <c r="I16" s="5" t="n">
        <v>0</v>
      </c>
      <c r="J16" s="6" t="n"/>
      <c r="K16" s="6" t="n"/>
      <c r="L16" s="2" t="inlineStr">
        <is>
          <t>clean</t>
        </is>
      </c>
      <c r="M16" s="2" t="inlineStr">
        <is>
          <t>pending</t>
        </is>
      </c>
      <c r="N16" s="2" t="inlineStr">
        <is>
          <t>BEST ORDER on a pass card - nothing is bettable at listed prices today. Fair 1.821 (market 0.5325 blended with in-house log5 0.6408 at 85/15); order fires only at 1.866+ (+2.5% EV bar). CAVEAT, stated plainly: 80% of sharp ML handle is on WSH fading ATL's rookie spot-starter JR Ritchie - our records-only log5 cannot see pitching. If the line moves toward the order, it is moving against the sharps. Bet the number or nothing.</t>
        </is>
      </c>
    </row>
    <row r="17">
      <c r="A17" s="2" t="inlineStr">
        <is>
          <t>2026-08-02</t>
        </is>
      </c>
      <c r="B17" s="2" t="inlineStr">
        <is>
          <t>BOS @ LAD (Sunday Night Baseball)</t>
        </is>
      </c>
      <c r="C17" s="2" t="inlineStr">
        <is>
          <t>Dodgers ML</t>
        </is>
      </c>
      <c r="D17" s="2" t="inlineStr">
        <is>
          <t>order_open</t>
        </is>
      </c>
      <c r="E17" s="3" t="n">
        <v>1.666</v>
      </c>
      <c r="F17" s="3" t="n"/>
      <c r="G17" s="4" t="n">
        <v>0</v>
      </c>
      <c r="H17" s="2" t="inlineStr">
        <is>
          <t>pending</t>
        </is>
      </c>
      <c r="I17" s="5" t="n">
        <v>0</v>
      </c>
      <c r="J17" s="6" t="n"/>
      <c r="K17" s="6" t="n"/>
      <c r="L17" s="2" t="inlineStr">
        <is>
          <t>clean</t>
        </is>
      </c>
      <c r="M17" s="2" t="inlineStr">
        <is>
          <t>pending</t>
        </is>
      </c>
      <c r="N17" s="2" t="inlineStr">
        <is>
          <t>Fair 1.626 off the Caesars 1.625 board (DK is shaded to 1.541); in-house log5 agrees with the market (LAD 62.5%). BOS won Fri+Sat - if steam keeps pushing BOS, LAD 1.666+ becomes available. Bennett vs Sheehan.</t>
        </is>
      </c>
    </row>
    <row r="18">
      <c r="A18" s="2" t="inlineStr">
        <is>
          <t>2026-08-02</t>
        </is>
      </c>
      <c r="B18" s="2" t="inlineStr">
        <is>
          <t>MIA @ NYM</t>
        </is>
      </c>
      <c r="C18" s="2" t="inlineStr">
        <is>
          <t>Marlins ML</t>
        </is>
      </c>
      <c r="D18" s="2" t="inlineStr">
        <is>
          <t>order_open</t>
        </is>
      </c>
      <c r="E18" s="3" t="n">
        <v>1.925</v>
      </c>
      <c r="F18" s="3" t="n"/>
      <c r="G18" s="4" t="n">
        <v>0</v>
      </c>
      <c r="H18" s="2" t="inlineStr">
        <is>
          <t>pending</t>
        </is>
      </c>
      <c r="I18" s="5" t="n">
        <v>0</v>
      </c>
      <c r="J18" s="6" t="n"/>
      <c r="K18" s="6" t="n"/>
      <c r="L18" s="2" t="inlineStr">
        <is>
          <t>clean</t>
        </is>
      </c>
      <c r="M18" s="2" t="inlineStr">
        <is>
          <t>pending</t>
        </is>
      </c>
      <c r="N18" s="2" t="inlineStr">
        <is>
          <t>Strongest situational thesis on the card: Alcantara vs an emergency spot starter (Robert Stock), SportsGrid 56% MIA, in-house log5 55.5% MIA. Fair 1.878; needs +108 -&gt; +115ish to fire.</t>
        </is>
      </c>
    </row>
    <row r="19">
      <c r="A19" s="2" t="inlineStr">
        <is>
          <t>2026-08-02</t>
        </is>
      </c>
      <c r="B19" s="2" t="inlineStr">
        <is>
          <t>PIT @ CIN</t>
        </is>
      </c>
      <c r="C19" s="2" t="inlineStr">
        <is>
          <t>Moneyline refused (conflict rule)</t>
        </is>
      </c>
      <c r="D19" s="2" t="inlineStr">
        <is>
          <t>refusal</t>
        </is>
      </c>
      <c r="E19" s="3" t="n"/>
      <c r="F19" s="3" t="n"/>
      <c r="G19" s="4" t="n">
        <v>0</v>
      </c>
      <c r="H19" s="2" t="inlineStr">
        <is>
          <t>pending</t>
        </is>
      </c>
      <c r="I19" s="5" t="n">
        <v>0</v>
      </c>
      <c r="J19" s="6" t="n"/>
      <c r="K19" s="6" t="n"/>
      <c r="L19" s="2" t="inlineStr">
        <is>
          <t>conflict</t>
        </is>
      </c>
      <c r="M19" s="2" t="inlineStr">
        <is>
          <t>pending</t>
        </is>
      </c>
      <c r="N19" s="2" t="inlineStr">
        <is>
          <t>Book prices CIN 1.676 (Burns 12-1, 2.40 ERA); Polymarket pays 1.818 on the same side - cross-source hold -3.07%. Degraded anchor + negative hold = unpriceable, never an arb (ledger rule, 3x validated). Graded against Sunday's close.</t>
        </is>
      </c>
    </row>
    <row r="21">
      <c r="A21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  <row r="14">
      <c r="A14" s="2" t="inlineStr">
        <is>
          <t>2026-08-01</t>
        </is>
      </c>
      <c r="B14" s="2" t="inlineStr">
        <is>
          <t>mls-2026-08-01-sea-por</t>
        </is>
      </c>
      <c r="C14" s="8" t="n">
        <v>0.4598</v>
      </c>
      <c r="D14" s="8" t="n">
        <v>0.4598</v>
      </c>
      <c r="E14" s="9">
        <f>ABS(C14-D14)*100</f>
        <v/>
      </c>
      <c r="F14" s="2" t="n">
        <v>1</v>
      </c>
      <c r="G14" s="10">
        <f>(C14-F14)^2</f>
        <v/>
      </c>
      <c r="H14" s="10">
        <f>(D14-F14)^2</f>
        <v/>
      </c>
      <c r="I14" s="2" t="inlineStr">
        <is>
          <t>clean</t>
        </is>
      </c>
    </row>
    <row r="15">
      <c r="A15" s="2" t="inlineStr">
        <is>
          <t>2026-08-01</t>
        </is>
      </c>
      <c r="B15" s="2" t="inlineStr">
        <is>
          <t>mlb-2026-08-01-pit-cin</t>
        </is>
      </c>
      <c r="C15" s="8" t="n">
        <v>0.4596</v>
      </c>
      <c r="D15" s="8" t="n">
        <v>0.4736</v>
      </c>
      <c r="E15" s="9">
        <f>ABS(C15-D15)*100</f>
        <v/>
      </c>
      <c r="F15" s="2" t="n">
        <v>0</v>
      </c>
      <c r="G15" s="10">
        <f>(C15-F15)^2</f>
        <v/>
      </c>
      <c r="H15" s="10">
        <f>(D15-F15)^2</f>
        <v/>
      </c>
      <c r="I15" s="2" t="inlineStr">
        <is>
          <t>clean</t>
        </is>
      </c>
    </row>
    <row r="16">
      <c r="A16" s="2" t="inlineStr">
        <is>
          <t>2026-08-01</t>
        </is>
      </c>
      <c r="B16" s="2" t="inlineStr">
        <is>
          <t>mlb-2026-08-01-cws-tb</t>
        </is>
      </c>
      <c r="C16" s="8" t="n">
        <v>0.5645</v>
      </c>
      <c r="D16" s="8" t="n">
        <v>0.6045</v>
      </c>
      <c r="E16" s="9">
        <f>ABS(C16-D16)*100</f>
        <v/>
      </c>
      <c r="F16" s="2" t="n">
        <v>1</v>
      </c>
      <c r="G16" s="10">
        <f>(C16-F16)^2</f>
        <v/>
      </c>
      <c r="H16" s="10">
        <f>(D16-F16)^2</f>
        <v/>
      </c>
      <c r="I16" s="2" t="inlineStr">
        <is>
          <t>clean</t>
        </is>
      </c>
    </row>
    <row r="17">
      <c r="A17" s="2" t="inlineStr">
        <is>
          <t>2026-08-01</t>
        </is>
      </c>
      <c r="B17" s="2" t="inlineStr">
        <is>
          <t>mlb-2026-08-01-mil-laa</t>
        </is>
      </c>
      <c r="C17" s="8" t="n">
        <v>0.4623</v>
      </c>
      <c r="D17" s="8" t="n">
        <v>0.4428</v>
      </c>
      <c r="E17" s="9">
        <f>ABS(C17-D17)*100</f>
        <v/>
      </c>
      <c r="F17" s="2" t="n">
        <v>0</v>
      </c>
      <c r="G17" s="10">
        <f>(C17-F17)^2</f>
        <v/>
      </c>
      <c r="H17" s="10">
        <f>(D17-F17)^2</f>
        <v/>
      </c>
      <c r="I17" s="2" t="inlineStr">
        <is>
          <t>clean</t>
        </is>
      </c>
    </row>
    <row r="18">
      <c r="A18" s="2" t="inlineStr">
        <is>
          <t>2026-08-01</t>
        </is>
      </c>
      <c r="B18" s="2" t="inlineStr">
        <is>
          <t>mlb-2026-08-01-det-ath</t>
        </is>
      </c>
      <c r="C18" s="8" t="n">
        <v>0.4006</v>
      </c>
      <c r="D18" s="8" t="n">
        <v>0.4424</v>
      </c>
      <c r="E18" s="9">
        <f>ABS(C18-D18)*100</f>
        <v/>
      </c>
      <c r="F18" s="2" t="n">
        <v>0</v>
      </c>
      <c r="G18" s="10">
        <f>(C18-F18)^2</f>
        <v/>
      </c>
      <c r="H18" s="10">
        <f>(D18-F18)^2</f>
        <v/>
      </c>
      <c r="I18" s="2" t="inlineStr">
        <is>
          <t>clean</t>
        </is>
      </c>
    </row>
    <row r="19">
      <c r="A19" s="2" t="inlineStr">
        <is>
          <t>2026-08-01</t>
        </is>
      </c>
      <c r="B19" s="2" t="inlineStr">
        <is>
          <t>mlb-2026-08-01-stl-tor</t>
        </is>
      </c>
      <c r="C19" s="8" t="n">
        <v>0.6113</v>
      </c>
      <c r="D19" s="8" t="n">
        <v>0.6116</v>
      </c>
      <c r="E19" s="9">
        <f>ABS(C19-D19)*100</f>
        <v/>
      </c>
      <c r="F19" s="2" t="n">
        <v>1</v>
      </c>
      <c r="G19" s="10">
        <f>(C19-F19)^2</f>
        <v/>
      </c>
      <c r="H19" s="10">
        <f>(D19-F19)^2</f>
        <v/>
      </c>
      <c r="I19" s="2" t="inlineStr">
        <is>
          <t>clean</t>
        </is>
      </c>
    </row>
    <row r="20">
      <c r="A20" s="2" t="inlineStr">
        <is>
          <t>2026-08-01</t>
        </is>
      </c>
      <c r="B20" s="2" t="inlineStr">
        <is>
          <t>mlb-2026-08-01-tex-hou</t>
        </is>
      </c>
      <c r="C20" s="8" t="n">
        <v>0.5454</v>
      </c>
      <c r="D20" s="8" t="n">
        <v>0.4654</v>
      </c>
      <c r="E20" s="9">
        <f>ABS(C20-D20)*100</f>
        <v/>
      </c>
      <c r="F20" s="2" t="n">
        <v>1</v>
      </c>
      <c r="G20" s="10">
        <f>(C20-F20)^2</f>
        <v/>
      </c>
      <c r="H20" s="10">
        <f>(D20-F20)^2</f>
        <v/>
      </c>
      <c r="I20" s="2" t="inlineStr">
        <is>
          <t>clean</t>
        </is>
      </c>
    </row>
    <row r="21">
      <c r="A21" s="2" t="inlineStr">
        <is>
          <t>2026-08-01</t>
        </is>
      </c>
      <c r="B21" s="2" t="inlineStr">
        <is>
          <t>mlb-2026-08-01-mia-nym</t>
        </is>
      </c>
      <c r="C21" s="8" t="n">
        <v>0.5454</v>
      </c>
      <c r="D21" s="8" t="n">
        <v>0.5502</v>
      </c>
      <c r="E21" s="9">
        <f>ABS(C21-D21)*100</f>
        <v/>
      </c>
      <c r="F21" s="2" t="n">
        <v>0</v>
      </c>
      <c r="G21" s="10">
        <f>(C21-F21)^2</f>
        <v/>
      </c>
      <c r="H21" s="10">
        <f>(D21-F21)^2</f>
        <v/>
      </c>
      <c r="I21" s="2" t="inlineStr">
        <is>
          <t>clean</t>
        </is>
      </c>
    </row>
    <row r="22">
      <c r="A22" s="2" t="inlineStr">
        <is>
          <t>2026-08-01</t>
        </is>
      </c>
      <c r="B22" s="2" t="inlineStr">
        <is>
          <t>mlb-2026-08-01-kc-col</t>
        </is>
      </c>
      <c r="C22" s="8" t="n">
        <v>0.5069</v>
      </c>
      <c r="D22" s="8" t="n">
        <v>0.5181</v>
      </c>
      <c r="E22" s="9">
        <f>ABS(C22-D22)*100</f>
        <v/>
      </c>
      <c r="F22" s="2" t="n">
        <v>1</v>
      </c>
      <c r="G22" s="10">
        <f>(C22-F22)^2</f>
        <v/>
      </c>
      <c r="H22" s="10">
        <f>(D22-F22)^2</f>
        <v/>
      </c>
      <c r="I22" s="2" t="inlineStr">
        <is>
          <t>clean</t>
        </is>
      </c>
    </row>
    <row r="23">
      <c r="A23" s="2" t="inlineStr">
        <is>
          <t>2026-08-01</t>
        </is>
      </c>
      <c r="B23" s="2" t="inlineStr">
        <is>
          <t>mlb-2026-08-01-phi-bal</t>
        </is>
      </c>
      <c r="C23" s="8" t="n">
        <v>0.4606</v>
      </c>
      <c r="D23" s="8" t="n">
        <v>0.4309</v>
      </c>
      <c r="E23" s="9">
        <f>ABS(C23-D23)*100</f>
        <v/>
      </c>
      <c r="F23" s="2" t="n">
        <v>0</v>
      </c>
      <c r="G23" s="10">
        <f>(C23-F23)^2</f>
        <v/>
      </c>
      <c r="H23" s="10">
        <f>(D23-F23)^2</f>
        <v/>
      </c>
      <c r="I23" s="2" t="inlineStr">
        <is>
          <t>clean</t>
        </is>
      </c>
    </row>
    <row r="24">
      <c r="A24" s="2" t="inlineStr">
        <is>
          <t>2026-08-01</t>
        </is>
      </c>
      <c r="B24" s="2" t="inlineStr">
        <is>
          <t>wnba-2026-08-01-phx-nyl</t>
        </is>
      </c>
      <c r="C24" s="8" t="n">
        <v>0.5589</v>
      </c>
      <c r="D24" s="8" t="n">
        <v>0.4411</v>
      </c>
      <c r="E24" s="9">
        <f>ABS(C24-D24)*100</f>
        <v/>
      </c>
      <c r="F24" s="2" t="n">
        <v>0</v>
      </c>
      <c r="G24" s="10">
        <f>(C24-F24)^2</f>
        <v/>
      </c>
      <c r="H24" s="10">
        <f>(D24-F24)^2</f>
        <v/>
      </c>
      <c r="I24" s="2" t="inlineStr">
        <is>
          <t>clean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[WORKED] PIT @ CIN: 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35">
      <c r="A35" s="21" t="inlineStr">
        <is>
          <t>[WORKED] NYY @ CHC: 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36">
      <c r="A36" s="21" t="inlineStr">
        <is>
          <t>[WORKED] WSH @ ATL: Braves 8-3. Polymarket-only board stayed unpriced per the 0.45-sharpness demotion; no book close collected for this game.</t>
        </is>
      </c>
    </row>
    <row r="37">
      <c r="A37" s="21" t="inlineStr">
        <is>
          <t>[WORKED] PHI @ BAL: 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38">
      <c r="A38" s="21" t="inlineStr">
        <is>
          <t>[WORKED] SEA @ POR (MLS): WON - Portland 2-1 Seattle. Graded at the pre-registered listed price 2.273 (prediction-market 44c; post-hoc fill verification impossible, page 403s). bet365 close 2.05/3.80/3.00: raw CLV +10.9%, no-vig CLV +4.5% - first positive-CLV ticket. User stake unconfirmed (no ticket screenshot); tracker computes P&amp;L at your unit stake.</t>
        </is>
      </c>
    </row>
    <row r="39">
      <c r="A39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40">
      <c r="A40" s="21" t="inlineStr">
        <is>
          <t>[DIDN'T] Calibration: flagged-source fair lines (conflict / date trap / low-confidence close) missed the no-vig close by 4.93 pts on average vs 2.27 pts for clean sources — source hygiene IS calibration.</t>
        </is>
      </c>
    </row>
    <row r="42">
      <c r="A42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2026-08-02T22:53:29Z</dcterms:created>
  <dcterms:modified xsi:type="dcterms:W3CDTF">2026-08-02T22:53:29Z</dcterms:modified>
</cp:coreProperties>
</file>