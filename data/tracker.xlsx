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order_unfilled</t>
        </is>
      </c>
      <c r="E20" s="3" t="n">
        <v>1.599</v>
      </c>
      <c r="F20" s="3" t="n"/>
      <c r="G20" s="4" t="n">
        <v>0</v>
      </c>
      <c r="H20" s="2" t="inlineStr">
        <is>
          <t>no fill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worked</t>
        </is>
      </c>
      <c r="N20" s="2" t="inlineStr">
        <is>
          <t>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order_filled_paper</t>
        </is>
      </c>
      <c r="E21" s="3" t="n">
        <v>1.278</v>
      </c>
      <c r="F21" s="3" t="n">
        <v>1.278</v>
      </c>
      <c r="G21" s="4" t="n">
        <v>0</v>
      </c>
      <c r="H21" s="2" t="inlineStr">
        <is>
          <t>won</t>
        </is>
      </c>
      <c r="I21" s="5" t="n">
        <v>0</v>
      </c>
      <c r="J21" s="6" t="n">
        <v>-0.0318</v>
      </c>
      <c r="K21" s="6" t="n">
        <v>-0.0536</v>
      </c>
      <c r="L21" s="2" t="inlineStr">
        <is>
          <t>clean</t>
        </is>
      </c>
      <c r="M21" s="2" t="inlineStr">
        <is>
          <t>flagged</t>
        </is>
      </c>
      <c r="N21" s="2" t="inlineStr">
        <is>
          <t>FILL CONDITION MET AND CASHED - but read the CLV. Liberty drifted -450 -&gt; -315 close, straight through the 1.278 trigger, and won 95-83. At the conservative fill (1.278) that is NEGATIVE CLV vs the ~1.35 no-vig close: a resting limit order fills precisely when the market moves through it - adverse selection (Walters: the drift was information; the market said the Storm were live-r than our day-old board). Paper grade only, stake 0: this was a backup order, not the headline, and the user bets headline only.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order_unfilled</t>
        </is>
      </c>
      <c r="E22" s="3" t="n">
        <v>2.03</v>
      </c>
      <c r="F22" s="3" t="n"/>
      <c r="G22" s="4" t="n">
        <v>0</v>
      </c>
      <c r="H22" s="2" t="inlineStr">
        <is>
          <t>no fill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worked</t>
        </is>
      </c>
      <c r="N22" s="2" t="inlineStr">
        <is>
          <t>NOT FILLED - TEX never reached plus-money (observed -105 to -125 across books; +103 trigger unreached), then lost 1-5 with five errors behind Webb's 6 shutout IP. Second unfilled loser dodged on the day.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validated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worked</t>
        </is>
      </c>
      <c r="N23" s="2" t="inlineStr">
        <is>
          <t>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24">
      <c r="A24" s="2" t="inlineStr">
        <is>
          <t>2026-08-06</t>
        </is>
      </c>
      <c r="B24" s="2" t="inlineStr">
        <is>
          <t>ATH @ CIN (start time unverified; typical 12:35 PM ET getaway)</t>
        </is>
      </c>
      <c r="C24" s="2" t="inlineStr">
        <is>
          <t>Reds ML</t>
        </is>
      </c>
      <c r="D24" s="2" t="inlineStr">
        <is>
          <t>order_unfilled</t>
        </is>
      </c>
      <c r="E24" s="3" t="n">
        <v>1.679</v>
      </c>
      <c r="F24" s="3" t="n"/>
      <c r="G24" s="4" t="n">
        <v>0</v>
      </c>
      <c r="H24" s="2" t="inlineStr">
        <is>
          <t>no fill</t>
        </is>
      </c>
      <c r="I24" s="5" t="n">
        <v>0</v>
      </c>
      <c r="J24" s="6" t="n"/>
      <c r="K24" s="6" t="n"/>
      <c r="L24" s="2" t="inlineStr">
        <is>
          <t>clean</t>
        </is>
      </c>
      <c r="M24" s="2" t="inlineStr">
        <is>
          <t>worked</t>
        </is>
      </c>
      <c r="N24" s="2" t="inlineStr">
        <is>
          <t>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25">
      <c r="A25" s="2" t="inlineStr">
        <is>
          <t>2026-08-06</t>
        </is>
      </c>
      <c r="B25" s="2" t="inlineStr">
        <is>
          <t>Dinamo Minsk @ Braga (UECL Q3 leg 1; kickoff ~3:00-3:45 PM ET assumed)</t>
        </is>
      </c>
      <c r="C25" s="2" t="inlineStr">
        <is>
          <t>Braga ML (3-way, draw/away lose)</t>
        </is>
      </c>
      <c r="D25" s="2" t="inlineStr">
        <is>
          <t>order_unfilled</t>
        </is>
      </c>
      <c r="E25" s="3" t="n">
        <v>1.141</v>
      </c>
      <c r="F25" s="3" t="n"/>
      <c r="G25" s="4" t="n">
        <v>0</v>
      </c>
      <c r="H25" s="2" t="inlineStr">
        <is>
          <t>no fill</t>
        </is>
      </c>
      <c r="I25" s="5" t="n">
        <v>0</v>
      </c>
      <c r="J25" s="6" t="n"/>
      <c r="K25" s="6" t="n"/>
      <c r="L25" s="2" t="inlineStr">
        <is>
          <t>clean</t>
        </is>
      </c>
      <c r="M25" s="2" t="inlineStr">
        <is>
          <t>worked</t>
        </is>
      </c>
      <c r="N25" s="2" t="inlineStr">
        <is>
          <t>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26">
      <c r="A26" s="2" t="inlineStr">
        <is>
          <t>2026-08-06</t>
        </is>
      </c>
      <c r="B26" s="2" t="inlineStr">
        <is>
          <t>ARI @ CAR, Hall of Fame Game (8:00 PM ET Thu, Canton - neutral site)</t>
        </is>
      </c>
      <c r="C26" s="2" t="inlineStr">
        <is>
          <t>Cardinals +1.5</t>
        </is>
      </c>
      <c r="D26" s="2" t="inlineStr">
        <is>
          <t>order_unfilled</t>
        </is>
      </c>
      <c r="E26" s="3" t="n">
        <v>1.88</v>
      </c>
      <c r="F26" s="3" t="n"/>
      <c r="G26" s="4" t="n">
        <v>0</v>
      </c>
      <c r="H26" s="2" t="inlineStr">
        <is>
          <t>no fill</t>
        </is>
      </c>
      <c r="I26" s="5" t="n">
        <v>0</v>
      </c>
      <c r="J26" s="6" t="n"/>
      <c r="K26" s="6" t="n"/>
      <c r="L26" s="2" t="inlineStr">
        <is>
          <t>clean</t>
        </is>
      </c>
      <c r="M26" s="2" t="inlineStr">
        <is>
          <t>worked</t>
        </is>
      </c>
      <c r="N26" s="2" t="inlineStr">
        <is>
          <t>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27">
      <c r="A27" s="2" t="inlineStr">
        <is>
          <t>2026-08-06</t>
        </is>
      </c>
      <c r="B27" s="2" t="inlineStr">
        <is>
          <t>ARI @ CAR (HOF Game)</t>
        </is>
      </c>
      <c r="C27" s="2" t="inlineStr">
        <is>
          <t>Wong teaser leg suppressed (ARI +1.5 -&gt; +7.5)</t>
        </is>
      </c>
      <c r="D27" s="2" t="inlineStr">
        <is>
          <t>flag</t>
        </is>
      </c>
      <c r="E27" s="3" t="n"/>
      <c r="F27" s="3" t="n"/>
      <c r="G27" s="4" t="n">
        <v>0</v>
      </c>
      <c r="H27" s="2" t="inlineStr">
        <is>
          <t>validated</t>
        </is>
      </c>
      <c r="I27" s="5" t="n">
        <v>0</v>
      </c>
      <c r="J27" s="6" t="n"/>
      <c r="K27" s="6" t="n"/>
      <c r="L27" s="2" t="inlineStr">
        <is>
          <t>clean</t>
        </is>
      </c>
      <c r="M27" s="2" t="inlineStr">
        <is>
          <t>worked</t>
        </is>
      </c>
      <c r="N27" s="2" t="inlineStr">
        <is>
          <t>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28">
      <c r="A28" s="2" t="inlineStr">
        <is>
          <t>2026-08-10</t>
        </is>
      </c>
      <c r="B28" s="2" t="inlineStr">
        <is>
          <t>NYM @ ATL (7:15 PM ET Mon)</t>
        </is>
      </c>
      <c r="C28" s="2" t="inlineStr">
        <is>
          <t>Braves ML</t>
        </is>
      </c>
      <c r="D28" s="2" t="inlineStr">
        <is>
          <t>order_filled</t>
        </is>
      </c>
      <c r="E28" s="3" t="n">
        <v>1.684</v>
      </c>
      <c r="F28" s="3" t="n">
        <v>1.684</v>
      </c>
      <c r="G28" s="4" t="n">
        <v>0</v>
      </c>
      <c r="H28" s="2" t="inlineStr">
        <is>
          <t>lost</t>
        </is>
      </c>
      <c r="I28" s="5" t="n">
        <v>0</v>
      </c>
      <c r="J28" s="6" t="n">
        <v>-0.0152</v>
      </c>
      <c r="K28" s="6" t="n">
        <v>-0.0305</v>
      </c>
      <c r="L28" s="2" t="inlineStr">
        <is>
          <t>clean</t>
        </is>
      </c>
      <c r="M28" s="2" t="inlineStr">
        <is>
          <t>flagged</t>
        </is>
      </c>
      <c r="N28" s="2" t="inlineStr">
        <is>
          <t>FILLED AND LOST - first filled headline order. The trigger (1.684/-147) verifiably printed at multiple books (-138 Covers, -140 FanDuel, -143 Caesars) before first pitch; ATL lost 8-5. Graded at the 1.684 floor: raw CLV -1.5%, no-vig -3.1% - NEGATIVE, the second straight drift-fill with negative CLV (Liberty Aug-3 was the first). The market drifted toward the Mets all day and the drift was information; re-priced at the drifted number, our own blend no longer cleared the bar. DRIFT-CANCEL RULE shipped to CLAUDE.md off this graded pair. User stake unconfirmed - tracker computes the loss at your unit stake; if you passed on it, tell me and I regrade to no-bet (Timbers precedent).</t>
        </is>
      </c>
    </row>
    <row r="29">
      <c r="A29" s="2" t="inlineStr">
        <is>
          <t>2026-08-10</t>
        </is>
      </c>
      <c r="B29" s="2" t="inlineStr">
        <is>
          <t>Shnaider vs Swiatek, WTA Toronto QF (7:00 PM ET Mon)</t>
        </is>
      </c>
      <c r="C29" s="2" t="inlineStr">
        <is>
          <t>Swiatek ML</t>
        </is>
      </c>
      <c r="D29" s="2" t="inlineStr">
        <is>
          <t>order_unfilled</t>
        </is>
      </c>
      <c r="E29" s="3" t="n">
        <v>1.403</v>
      </c>
      <c r="F29" s="3" t="n"/>
      <c r="G29" s="4" t="n">
        <v>0</v>
      </c>
      <c r="H29" s="2" t="inlineStr">
        <is>
          <t>no fill</t>
        </is>
      </c>
      <c r="I29" s="5" t="n">
        <v>0</v>
      </c>
      <c r="J29" s="6" t="n"/>
      <c r="K29" s="6" t="n"/>
      <c r="L29" s="2" t="inlineStr">
        <is>
          <t>clean</t>
        </is>
      </c>
      <c r="M29" s="2" t="inlineStr">
        <is>
          <t>worked</t>
        </is>
      </c>
      <c r="N29" s="2" t="inlineStr">
        <is>
          <t>NOT FILLED: no book ever printed 1.403+ (-285/-300 everywhere). Swiatek won 6-2 6-1 - a missed winner, which is the cost side of the same discipline that has dodged three losers. The bar cuts both ways; that is the design.</t>
        </is>
      </c>
    </row>
    <row r="30">
      <c r="A30" s="2" t="inlineStr">
        <is>
          <t>2026-08-10</t>
        </is>
      </c>
      <c r="B30" s="2" t="inlineStr">
        <is>
          <t>COL @ AZ (Chase Field, evening - exact time TBC)</t>
        </is>
      </c>
      <c r="C30" s="2" t="inlineStr">
        <is>
          <t>Diamondbacks ML</t>
        </is>
      </c>
      <c r="D30" s="2" t="inlineStr">
        <is>
          <t>order_unfilled</t>
        </is>
      </c>
      <c r="E30" s="3" t="n">
        <v>1.624</v>
      </c>
      <c r="F30" s="3" t="n"/>
      <c r="G30" s="4" t="n">
        <v>0</v>
      </c>
      <c r="H30" s="2" t="inlineStr">
        <is>
          <t>no fill</t>
        </is>
      </c>
      <c r="I30" s="5" t="n">
        <v>0</v>
      </c>
      <c r="J30" s="6" t="n"/>
      <c r="K30" s="6" t="n"/>
      <c r="L30" s="2" t="inlineStr">
        <is>
          <t>clean</t>
        </is>
      </c>
      <c r="M30" s="2" t="inlineStr">
        <is>
          <t>worked</t>
        </is>
      </c>
      <c r="N30" s="2" t="inlineStr">
        <is>
          <t>NOT FILLED: line moved AWAY from the order all day (-179 -&gt; -190s; the -164 outlier board never reached -160). Game in progress at grading - outcome irrelevant to an unfilled order.</t>
        </is>
      </c>
    </row>
    <row r="31">
      <c r="A31" s="2" t="inlineStr">
        <is>
          <t>2026-08-10</t>
        </is>
      </c>
      <c r="B31" s="2" t="inlineStr">
        <is>
          <t>KC @ LAD (10:10 PM ET Mon - Skubal home debut)</t>
        </is>
      </c>
      <c r="C31" s="2" t="inlineStr">
        <is>
          <t>Moneyline refused (conflict rule)</t>
        </is>
      </c>
      <c r="D31" s="2" t="inlineStr">
        <is>
          <t>refusal</t>
        </is>
      </c>
      <c r="E31" s="3" t="n"/>
      <c r="F31" s="3" t="n"/>
      <c r="G31" s="4" t="n">
        <v>0</v>
      </c>
      <c r="H31" s="2" t="inlineStr">
        <is>
          <t>validated</t>
        </is>
      </c>
      <c r="I31" s="5" t="n">
        <v>0</v>
      </c>
      <c r="J31" s="6" t="n"/>
      <c r="K31" s="6" t="n"/>
      <c r="L31" s="2" t="inlineStr">
        <is>
          <t>conflict</t>
        </is>
      </c>
      <c r="M31" s="2" t="inlineStr">
        <is>
          <t>worked</t>
        </is>
      </c>
      <c r="N31" s="2" t="inlineStr">
        <is>
          <t>VALIDATED, with the sharpest twist yet: the definitive Monday close was LAD -325/-330 (FanDuel + 'other oddsmakers' + Polymarket 74c all agree near 76%) - the -160 board we saw was itself a stale/erroneous print. The conflict was real, and this time the BOOK leg was the garbage and the prediction market was near truth (mirror of the Aug-1 stale 'CHC 1.62'). The rule doesn't care which source lies - it refuses the disagreement. LAD needed a 7th-inning rally to win 6-5. 7-for-7 on refusals/flags.</t>
        </is>
      </c>
    </row>
    <row r="32">
      <c r="A32" s="2" t="inlineStr">
        <is>
          <t>2026-08-11</t>
        </is>
      </c>
      <c r="B32" s="2" t="inlineStr">
        <is>
          <t>CLE @ DET (6:40 PM ET Tue, Comerica)</t>
        </is>
      </c>
      <c r="C32" s="2" t="inlineStr">
        <is>
          <t>Tigers ML</t>
        </is>
      </c>
      <c r="D32" s="2" t="inlineStr">
        <is>
          <t>order_unfilled</t>
        </is>
      </c>
      <c r="E32" s="3" t="n">
        <v>2.164</v>
      </c>
      <c r="F32" s="3" t="n"/>
      <c r="G32" s="4" t="n">
        <v>0</v>
      </c>
      <c r="H32" s="2" t="inlineStr">
        <is>
          <t>no fill</t>
        </is>
      </c>
      <c r="I32" s="5" t="n">
        <v>0</v>
      </c>
      <c r="J32" s="6" t="n"/>
      <c r="K32" s="6" t="n"/>
      <c r="L32" s="2" t="inlineStr">
        <is>
          <t>clean</t>
        </is>
      </c>
      <c r="M32" s="2" t="inlineStr">
        <is>
          <t>worked</t>
        </is>
      </c>
      <c r="N32" s="2" t="inlineStr">
        <is>
          <t>NOT FILLED - the market ran the other way, hard: DET +113 Monday night -&gt; -120/-121 favorite at first pitch. No +116 ever printed. DET won 6-4, so another would-have-won missed - but the swing's SIZE is the lesson: an overnight board can embed a different starting pitcher than game-day reality (Drew Anderson started). Listed-pitcher rule: every future order names its assumed starters, and a change voids the premise (Skenes-scratch lesson, Jul 30, finally codified).</t>
        </is>
      </c>
    </row>
    <row r="33">
      <c r="A33" s="2" t="inlineStr">
        <is>
          <t>2026-08-11</t>
        </is>
      </c>
      <c r="B33" s="2" t="inlineStr">
        <is>
          <t>TB @ ATH (9:40 PM ET Tue)</t>
        </is>
      </c>
      <c r="C33" s="2" t="inlineStr">
        <is>
          <t>Rays ML</t>
        </is>
      </c>
      <c r="D33" s="2" t="inlineStr">
        <is>
          <t>order_unfilled</t>
        </is>
      </c>
      <c r="E33" s="3" t="n">
        <v>1.72</v>
      </c>
      <c r="F33" s="3" t="n"/>
      <c r="G33" s="4" t="n">
        <v>0</v>
      </c>
      <c r="H33" s="2" t="inlineStr">
        <is>
          <t>no fill</t>
        </is>
      </c>
      <c r="I33" s="5" t="n">
        <v>0</v>
      </c>
      <c r="J33" s="6" t="n"/>
      <c r="K33" s="6" t="n"/>
      <c r="L33" s="2" t="inlineStr">
        <is>
          <t>clean</t>
        </is>
      </c>
      <c r="M33" s="2" t="inlineStr">
        <is>
          <t>worked</t>
        </is>
      </c>
      <c r="N33" s="2" t="inlineStr">
        <is>
          <t>NOT FILLED - TB shortened -146 -&gt; -180 and won 12-4. Fourth straight unfilled order whose side won. Tempting to call the bar too high; the ledger says otherwise - the only two orders that DID fill both carried negative CLV and went 1-1. Unfilled winners are the visible cost of refusing bad prices; filled losers are the invisible cost of chasing. No parameter change (Walters rule).</t>
        </is>
      </c>
    </row>
    <row r="34">
      <c r="A34" s="2" t="inlineStr">
        <is>
          <t>2026-08-11</t>
        </is>
      </c>
      <c r="B34" s="2" t="inlineStr">
        <is>
          <t>KC @ LAD (10:10 PM ET Tue)</t>
        </is>
      </c>
      <c r="C34" s="2" t="inlineStr">
        <is>
          <t>Moneyline refused (conflict rule, day 2)</t>
        </is>
      </c>
      <c r="D34" s="2" t="inlineStr">
        <is>
          <t>refusal</t>
        </is>
      </c>
      <c r="E34" s="3" t="n"/>
      <c r="F34" s="3" t="n"/>
      <c r="G34" s="4" t="n">
        <v>0</v>
      </c>
      <c r="H34" s="2" t="inlineStr">
        <is>
          <t>validated</t>
        </is>
      </c>
      <c r="I34" s="5" t="n">
        <v>0</v>
      </c>
      <c r="J34" s="6" t="n"/>
      <c r="K34" s="6" t="n"/>
      <c r="L34" s="2" t="inlineStr">
        <is>
          <t>conflict</t>
        </is>
      </c>
      <c r="M34" s="2" t="inlineStr">
        <is>
          <t>worked</t>
        </is>
      </c>
      <c r="N34" s="2" t="inlineStr">
        <is>
          <t>Book LAD -285 vs Polymarket 72c: nearly agreeing today, but cross-source best prices still net -0.99% hold - the rule is binary and fires the same on small conflicts as wide ones (that binariness is the Cubs-3.7pt lesson). 6th application. Monday's refusal grades at its close next cycle alongside this one. || SETTLED: close LAD -275 (~70-71% no-vig) vs Polymarket 72c - the sources converged AT the close, meaning no exploitable edge ever existed. LAD won 5-4. Refusals now 8-for-8.</t>
        </is>
      </c>
    </row>
    <row r="35">
      <c r="A35" s="2" t="inlineStr">
        <is>
          <t>2026-08-12</t>
        </is>
      </c>
      <c r="B35" s="2" t="inlineStr">
        <is>
          <t>NYM @ ATL (7:15 PM ET Wed; PITCHERS: Thornton vs Mahle)</t>
        </is>
      </c>
      <c r="C35" s="2" t="inlineStr">
        <is>
          <t>Braves ML</t>
        </is>
      </c>
      <c r="D35" s="2" t="inlineStr">
        <is>
          <t>order_open</t>
        </is>
      </c>
      <c r="E35" s="3" t="n">
        <v>1.666</v>
      </c>
      <c r="F35" s="3" t="n"/>
      <c r="G35" s="4" t="n">
        <v>0</v>
      </c>
      <c r="H35" s="2" t="inlineStr">
        <is>
          <t>pending</t>
        </is>
      </c>
      <c r="I35" s="5" t="n">
        <v>0</v>
      </c>
      <c r="J35" s="6" t="n"/>
      <c r="K35" s="6" t="n"/>
      <c r="L35" s="2" t="inlineStr">
        <is>
          <t>clean</t>
        </is>
      </c>
      <c r="M35" s="2" t="inlineStr">
        <is>
          <t>pending</t>
        </is>
      </c>
      <c r="N35" s="2" t="inlineStr">
        <is>
          <t>HEADLINE ORDER, +0.96% at listed. Fair 1.625 (market 0.6007 blended with in-house log5 0.6932 - ATL 72-48 vs NYM 53-68). Fires at 1.666+ (-150 -&gt; -145 or better). HONEST TENSION: the pitching matchup leans the other way (Thornton 2.52 ERA vs Mahle 4.83) and the Mets are going for a sweep - the records model can't see arms. LISTED-PITCHER RULE: this order is void if either starter changes. DRIFT-CANCEL: a drift through 1.666 means re-price first, never auto-take.</t>
        </is>
      </c>
    </row>
    <row r="36">
      <c r="A36" s="2" t="inlineStr">
        <is>
          <t>2026-08-12</t>
        </is>
      </c>
      <c r="B36" s="2" t="inlineStr">
        <is>
          <t>ATP Montreal SF: Jodar vs Nakashima (6:00 PM ET Wed)</t>
        </is>
      </c>
      <c r="C36" s="2" t="inlineStr">
        <is>
          <t>Nakashima ML</t>
        </is>
      </c>
      <c r="D36" s="2" t="inlineStr">
        <is>
          <t>order_open</t>
        </is>
      </c>
      <c r="E36" s="3" t="n">
        <v>2.969</v>
      </c>
      <c r="F36" s="3" t="n"/>
      <c r="G36" s="4" t="n">
        <v>0</v>
      </c>
      <c r="H36" s="2" t="inlineStr">
        <is>
          <t>pending</t>
        </is>
      </c>
      <c r="I36" s="5" t="n">
        <v>0</v>
      </c>
      <c r="J36" s="6" t="n"/>
      <c r="K36" s="6" t="n"/>
      <c r="L36" s="2" t="inlineStr">
        <is>
          <t>clean</t>
        </is>
      </c>
      <c r="M36" s="2" t="inlineStr">
        <is>
          <t>pending</t>
        </is>
      </c>
      <c r="N36" s="2" t="inlineStr">
        <is>
          <t>Fair 2.897: Dimers sims give Jodar only 59% against a market implying 65% - the model leans the Nakashima side relative to price. Fires at 2.969+ (+197 or better vs +188 listed). Tien leads Shelton H2H in the other semi but that board never got two-sided - unpriced.</t>
        </is>
      </c>
    </row>
    <row r="37">
      <c r="A37" s="2" t="inlineStr">
        <is>
          <t>2026-08-12</t>
        </is>
      </c>
      <c r="B37" s="2" t="inlineStr">
        <is>
          <t>SEA @ NYY (7:05 PM ET Wed; PITCHERS: Miller vs Warren)</t>
        </is>
      </c>
      <c r="C37" s="2" t="inlineStr">
        <is>
          <t>Yankees ML</t>
        </is>
      </c>
      <c r="D37" s="2" t="inlineStr">
        <is>
          <t>order_open</t>
        </is>
      </c>
      <c r="E37" s="3" t="n">
        <v>1.893</v>
      </c>
      <c r="F37" s="3" t="n"/>
      <c r="G37" s="4" t="n">
        <v>0</v>
      </c>
      <c r="H37" s="2" t="inlineStr">
        <is>
          <t>pending</t>
        </is>
      </c>
      <c r="I37" s="5" t="n">
        <v>0</v>
      </c>
      <c r="J37" s="6" t="n"/>
      <c r="K37" s="6" t="n"/>
      <c r="L37" s="2" t="inlineStr">
        <is>
          <t>clean</t>
        </is>
      </c>
      <c r="M37" s="2" t="inlineStr">
        <is>
          <t>pending</t>
        </is>
      </c>
      <c r="N37" s="2" t="inlineStr">
        <is>
          <t>Fair 1.847 (model 60.4% vs market 53.0% - largest model-market gap on the card; public consensus is 68% on the SEA dog, which cuts the other way). Fires at 1.893+ (-112 or better vs -122 listed).</t>
        </is>
      </c>
    </row>
    <row r="39">
      <c r="A39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  <row r="33">
      <c r="A33" s="2" t="inlineStr">
        <is>
          <t>2026-08-02</t>
        </is>
      </c>
      <c r="B33" s="2" t="inlineStr">
        <is>
          <t>mlb-2026-08-02-det-ath</t>
        </is>
      </c>
      <c r="C33" s="8" t="n">
        <v>0.4313</v>
      </c>
      <c r="D33" s="8" t="n">
        <v>0.4547</v>
      </c>
      <c r="E33" s="9">
        <f>ABS(C33-D33)*100</f>
        <v/>
      </c>
      <c r="F33" s="2" t="n">
        <v>0</v>
      </c>
      <c r="G33" s="10">
        <f>(C33-F33)^2</f>
        <v/>
      </c>
      <c r="H33" s="10">
        <f>(D33-F33)^2</f>
        <v/>
      </c>
      <c r="I33" s="2" t="inlineStr">
        <is>
          <t>clean</t>
        </is>
      </c>
    </row>
    <row r="34">
      <c r="A34" s="2" t="inlineStr">
        <is>
          <t>2026-08-02</t>
        </is>
      </c>
      <c r="B34" s="2" t="inlineStr">
        <is>
          <t>mlb-2026-08-02-sfg-sdp</t>
        </is>
      </c>
      <c r="C34" s="8" t="n">
        <v>0.5951</v>
      </c>
      <c r="D34" s="8" t="n">
        <v>0.5815</v>
      </c>
      <c r="E34" s="9">
        <f>ABS(C34-D34)*100</f>
        <v/>
      </c>
      <c r="F34" s="2" t="n">
        <v>1</v>
      </c>
      <c r="G34" s="10">
        <f>(C34-F34)^2</f>
        <v/>
      </c>
      <c r="H34" s="10">
        <f>(D34-F34)^2</f>
        <v/>
      </c>
      <c r="I34" s="2" t="inlineStr">
        <is>
          <t>clean</t>
        </is>
      </c>
    </row>
    <row r="35">
      <c r="A35" s="2" t="inlineStr">
        <is>
          <t>2026-08-02</t>
        </is>
      </c>
      <c r="B35" s="2" t="inlineStr">
        <is>
          <t>mlb-2026-08-02-min-sea</t>
        </is>
      </c>
      <c r="C35" s="8" t="n">
        <v>0.5620000000000001</v>
      </c>
      <c r="D35" s="8" t="n">
        <v>0.5629999999999999</v>
      </c>
      <c r="E35" s="9">
        <f>ABS(C35-D35)*100</f>
        <v/>
      </c>
      <c r="F35" s="2" t="n">
        <v>1</v>
      </c>
      <c r="G35" s="10">
        <f>(C35-F35)^2</f>
        <v/>
      </c>
      <c r="H35" s="10">
        <f>(D35-F35)^2</f>
        <v/>
      </c>
      <c r="I35" s="2" t="inlineStr">
        <is>
          <t>clean</t>
        </is>
      </c>
    </row>
    <row r="36">
      <c r="A36" s="2" t="inlineStr">
        <is>
          <t>2026-08-02</t>
        </is>
      </c>
      <c r="B36" s="2" t="inlineStr">
        <is>
          <t>mlb-2026-08-02-bos-lad</t>
        </is>
      </c>
      <c r="C36" s="8" t="n">
        <v>0.6151</v>
      </c>
      <c r="D36" s="8" t="n">
        <v>0.6287</v>
      </c>
      <c r="E36" s="9">
        <f>ABS(C36-D36)*100</f>
        <v/>
      </c>
      <c r="F36" s="2" t="n">
        <v>0</v>
      </c>
      <c r="G36" s="10">
        <f>(C36-F36)^2</f>
        <v/>
      </c>
      <c r="H36" s="10">
        <f>(D36-F36)^2</f>
        <v/>
      </c>
      <c r="I36" s="2" t="inlineStr">
        <is>
          <t>clean</t>
        </is>
      </c>
    </row>
    <row r="37">
      <c r="A37" s="2" t="inlineStr">
        <is>
          <t>2026-08-02</t>
        </is>
      </c>
      <c r="B37" s="2" t="inlineStr">
        <is>
          <t>atp-2026-08-02-berrettini-navone</t>
        </is>
      </c>
      <c r="C37" s="8" t="n">
        <v>0.3522</v>
      </c>
      <c r="D37" s="8" t="n">
        <v>0.358</v>
      </c>
      <c r="E37" s="9">
        <f>ABS(C37-D37)*100</f>
        <v/>
      </c>
      <c r="F37" s="2" t="n">
        <v>1</v>
      </c>
      <c r="G37" s="10">
        <f>(C37-F37)^2</f>
        <v/>
      </c>
      <c r="H37" s="10">
        <f>(D37-F37)^2</f>
        <v/>
      </c>
      <c r="I37" s="2" t="inlineStr">
        <is>
          <t>clean</t>
        </is>
      </c>
    </row>
    <row r="38">
      <c r="A38" s="2" t="inlineStr">
        <is>
          <t>2026-08-02</t>
        </is>
      </c>
      <c r="B38" s="2" t="inlineStr">
        <is>
          <t>wta-2026-08-02-bartunkova-andreescu</t>
        </is>
      </c>
      <c r="C38" s="8" t="n">
        <v>0.416</v>
      </c>
      <c r="D38" s="8" t="n">
        <v>0.4042</v>
      </c>
      <c r="E38" s="9">
        <f>ABS(C38-D38)*100</f>
        <v/>
      </c>
      <c r="F38" s="2" t="n">
        <v>0</v>
      </c>
      <c r="G38" s="10">
        <f>(C38-F38)^2</f>
        <v/>
      </c>
      <c r="H38" s="10">
        <f>(D38-F38)^2</f>
        <v/>
      </c>
      <c r="I38" s="2" t="inlineStr">
        <is>
          <t>clean</t>
        </is>
      </c>
    </row>
    <row r="39">
      <c r="A39" s="2" t="inlineStr">
        <is>
          <t>2026-08-02</t>
        </is>
      </c>
      <c r="B39" s="2" t="inlineStr">
        <is>
          <t>ligamx-2026-08-02-san-ame</t>
        </is>
      </c>
      <c r="C39" s="8" t="n">
        <v>0.6858</v>
      </c>
      <c r="D39" s="8" t="n">
        <v>0.6949</v>
      </c>
      <c r="E39" s="9">
        <f>ABS(C39-D39)*100</f>
        <v/>
      </c>
      <c r="F39" s="2" t="n">
        <v>1</v>
      </c>
      <c r="G39" s="10">
        <f>(C39-F39)^2</f>
        <v/>
      </c>
      <c r="H39" s="10">
        <f>(D39-F39)^2</f>
        <v/>
      </c>
      <c r="I39" s="2" t="inlineStr">
        <is>
          <t>clean</t>
        </is>
      </c>
    </row>
    <row r="40">
      <c r="A40" s="2" t="inlineStr">
        <is>
          <t>2026-08-02</t>
        </is>
      </c>
      <c r="B40" s="2" t="inlineStr">
        <is>
          <t>cdb-2026-08-02-cru-cha</t>
        </is>
      </c>
      <c r="C40" s="8" t="n">
        <v>0.2043</v>
      </c>
      <c r="D40" s="8" t="n">
        <v>0.2275</v>
      </c>
      <c r="E40" s="9">
        <f>ABS(C40-D40)*100</f>
        <v/>
      </c>
      <c r="F40" s="2" t="n">
        <v>0</v>
      </c>
      <c r="G40" s="10">
        <f>(C40-F40)^2</f>
        <v/>
      </c>
      <c r="H40" s="10">
        <f>(D40-F40)^2</f>
        <v/>
      </c>
      <c r="I40" s="2" t="inlineStr">
        <is>
          <t>clean</t>
        </is>
      </c>
    </row>
    <row r="41">
      <c r="A41" s="2" t="inlineStr">
        <is>
          <t>2026-08-02</t>
        </is>
      </c>
      <c r="B41" s="2" t="inlineStr">
        <is>
          <t>cdb-2026-08-02-cor-int</t>
        </is>
      </c>
      <c r="C41" s="8" t="n">
        <v>0.4424</v>
      </c>
      <c r="D41" s="8" t="n">
        <v>0.4312</v>
      </c>
      <c r="E41" s="9">
        <f>ABS(C41-D41)*100</f>
        <v/>
      </c>
      <c r="F41" s="2" t="n">
        <v>1</v>
      </c>
      <c r="G41" s="10">
        <f>(C41-F41)^2</f>
        <v/>
      </c>
      <c r="H41" s="10">
        <f>(D41-F41)^2</f>
        <v/>
      </c>
      <c r="I41" s="2" t="inlineStr">
        <is>
          <t>clean</t>
        </is>
      </c>
    </row>
    <row r="42">
      <c r="A42" s="2" t="inlineStr">
        <is>
          <t>2026-08-03</t>
        </is>
      </c>
      <c r="B42" s="2" t="inlineStr">
        <is>
          <t>mlb-2026-08-03-stl-nyy</t>
        </is>
      </c>
      <c r="C42" s="8" t="n">
        <v>0.641</v>
      </c>
      <c r="D42" s="8" t="n">
        <v>0.6561</v>
      </c>
      <c r="E42" s="9">
        <f>ABS(C42-D42)*100</f>
        <v/>
      </c>
      <c r="F42" s="2" t="n">
        <v>0</v>
      </c>
      <c r="G42" s="10">
        <f>(C42-F42)^2</f>
        <v/>
      </c>
      <c r="H42" s="10">
        <f>(D42-F42)^2</f>
        <v/>
      </c>
      <c r="I42" s="2" t="inlineStr">
        <is>
          <t>clean</t>
        </is>
      </c>
    </row>
    <row r="43">
      <c r="A43" s="2" t="inlineStr">
        <is>
          <t>2026-08-03</t>
        </is>
      </c>
      <c r="B43" s="2" t="inlineStr">
        <is>
          <t>mlb-2026-08-03-wsh-phi</t>
        </is>
      </c>
      <c r="C43" s="8" t="n">
        <v>0.5744</v>
      </c>
      <c r="D43" s="8" t="n">
        <v>0.5899</v>
      </c>
      <c r="E43" s="9">
        <f>ABS(C43-D43)*100</f>
        <v/>
      </c>
      <c r="F43" s="2" t="n">
        <v>1</v>
      </c>
      <c r="G43" s="10">
        <f>(C43-F43)^2</f>
        <v/>
      </c>
      <c r="H43" s="10">
        <f>(D43-F43)^2</f>
        <v/>
      </c>
      <c r="I43" s="2" t="inlineStr">
        <is>
          <t>clean</t>
        </is>
      </c>
    </row>
    <row r="44">
      <c r="A44" s="2" t="inlineStr">
        <is>
          <t>2026-08-03</t>
        </is>
      </c>
      <c r="B44" s="2" t="inlineStr">
        <is>
          <t>mlb-2026-08-03-lad-chc</t>
        </is>
      </c>
      <c r="C44" s="8" t="n">
        <v>0.4597</v>
      </c>
      <c r="D44" s="8" t="n">
        <v>0.4631</v>
      </c>
      <c r="E44" s="9">
        <f>ABS(C44-D44)*100</f>
        <v/>
      </c>
      <c r="F44" s="2" t="n">
        <v>1</v>
      </c>
      <c r="G44" s="10">
        <f>(C44-F44)^2</f>
        <v/>
      </c>
      <c r="H44" s="10">
        <f>(D44-F44)^2</f>
        <v/>
      </c>
      <c r="I44" s="2" t="inlineStr">
        <is>
          <t>clean</t>
        </is>
      </c>
    </row>
    <row r="45">
      <c r="A45" s="2" t="inlineStr">
        <is>
          <t>2026-08-03</t>
        </is>
      </c>
      <c r="B45" s="2" t="inlineStr">
        <is>
          <t>mlb-2026-08-03-sfg-tex</t>
        </is>
      </c>
      <c r="C45" s="8" t="n">
        <v>0.5049</v>
      </c>
      <c r="D45" s="8" t="n">
        <v>0.5091</v>
      </c>
      <c r="E45" s="9">
        <f>ABS(C45-D45)*100</f>
        <v/>
      </c>
      <c r="F45" s="2" t="n">
        <v>0</v>
      </c>
      <c r="G45" s="10">
        <f>(C45-F45)^2</f>
        <v/>
      </c>
      <c r="H45" s="10">
        <f>(D45-F45)^2</f>
        <v/>
      </c>
      <c r="I45" s="2" t="inlineStr">
        <is>
          <t>clean</t>
        </is>
      </c>
    </row>
    <row r="46">
      <c r="A46" s="2" t="inlineStr">
        <is>
          <t>2026-08-03</t>
        </is>
      </c>
      <c r="B46" s="2" t="inlineStr">
        <is>
          <t>mlb-2026-08-03-tb-col</t>
        </is>
      </c>
      <c r="C46" s="8" t="n">
        <v>0.3991</v>
      </c>
      <c r="D46" s="8" t="n">
        <v>0.3963</v>
      </c>
      <c r="E46" s="9">
        <f>ABS(C46-D46)*100</f>
        <v/>
      </c>
      <c r="F46" s="2" t="n">
        <v>0</v>
      </c>
      <c r="G46" s="10">
        <f>(C46-F46)^2</f>
        <v/>
      </c>
      <c r="H46" s="10">
        <f>(D46-F46)^2</f>
        <v/>
      </c>
      <c r="I46" s="2" t="inlineStr">
        <is>
          <t>clean</t>
        </is>
      </c>
    </row>
    <row r="47">
      <c r="A47" s="2" t="inlineStr">
        <is>
          <t>2026-08-03</t>
        </is>
      </c>
      <c r="B47" s="2" t="inlineStr">
        <is>
          <t>wnba-2026-08-03-sea-nyl</t>
        </is>
      </c>
      <c r="C47" s="8" t="n">
        <v>0.8017</v>
      </c>
      <c r="D47" s="8" t="n">
        <v>0.7405</v>
      </c>
      <c r="E47" s="9">
        <f>ABS(C47-D47)*100</f>
        <v/>
      </c>
      <c r="F47" s="2" t="n">
        <v>1</v>
      </c>
      <c r="G47" s="10">
        <f>(C47-F47)^2</f>
        <v/>
      </c>
      <c r="H47" s="10">
        <f>(D47-F47)^2</f>
        <v/>
      </c>
      <c r="I47" s="2" t="inlineStr">
        <is>
          <t>clean</t>
        </is>
      </c>
    </row>
    <row r="48">
      <c r="A48" s="2" t="inlineStr">
        <is>
          <t>2026-08-03</t>
        </is>
      </c>
      <c r="B48" s="2" t="inlineStr">
        <is>
          <t>arg-2026-08-03-ind-vel</t>
        </is>
      </c>
      <c r="C48" s="8" t="n">
        <v>0.3919</v>
      </c>
      <c r="D48" s="8" t="n">
        <v>0.3751</v>
      </c>
      <c r="E48" s="9">
        <f>ABS(C48-D48)*100</f>
        <v/>
      </c>
      <c r="F48" s="2" t="n">
        <v>1</v>
      </c>
      <c r="G48" s="10">
        <f>(C48-F48)^2</f>
        <v/>
      </c>
      <c r="H48" s="10">
        <f>(D48-F48)^2</f>
        <v/>
      </c>
      <c r="I48" s="2" t="inlineStr">
        <is>
          <t>clean</t>
        </is>
      </c>
    </row>
    <row r="49">
      <c r="A49" s="2" t="inlineStr">
        <is>
          <t>2026-08-03</t>
        </is>
      </c>
      <c r="B49" s="2" t="inlineStr">
        <is>
          <t>arg-2026-08-03-tal-pla</t>
        </is>
      </c>
      <c r="C49" s="8" t="n">
        <v>0.3776</v>
      </c>
      <c r="D49" s="8" t="n">
        <v>0.3776</v>
      </c>
      <c r="E49" s="9">
        <f>ABS(C49-D49)*100</f>
        <v/>
      </c>
      <c r="F49" s="2" t="n">
        <v>0</v>
      </c>
      <c r="G49" s="10">
        <f>(C49-F49)^2</f>
        <v/>
      </c>
      <c r="H49" s="10">
        <f>(D49-F49)^2</f>
        <v/>
      </c>
      <c r="I49" s="2" t="inlineStr">
        <is>
          <t>clean</t>
        </is>
      </c>
    </row>
    <row r="50">
      <c r="A50" s="2" t="inlineStr">
        <is>
          <t>2026-08-06</t>
        </is>
      </c>
      <c r="B50" s="2" t="inlineStr">
        <is>
          <t>mlb-2026-08-06-ath-cin</t>
        </is>
      </c>
      <c r="C50" s="8" t="n">
        <v>0.6104000000000001</v>
      </c>
      <c r="D50" s="8" t="n">
        <v>0.6038</v>
      </c>
      <c r="E50" s="9">
        <f>ABS(C50-D50)*100</f>
        <v/>
      </c>
      <c r="F50" s="2" t="n">
        <v>1</v>
      </c>
      <c r="G50" s="10">
        <f>(C50-F50)^2</f>
        <v/>
      </c>
      <c r="H50" s="10">
        <f>(D50-F50)^2</f>
        <v/>
      </c>
      <c r="I50" s="2" t="inlineStr">
        <is>
          <t>clean</t>
        </is>
      </c>
    </row>
    <row r="51">
      <c r="A51" s="2" t="inlineStr">
        <is>
          <t>2026-08-06</t>
        </is>
      </c>
      <c r="B51" s="2" t="inlineStr">
        <is>
          <t>nfl-2026-08-06-ari-car</t>
        </is>
      </c>
      <c r="C51" s="8" t="n">
        <v>0.5112</v>
      </c>
      <c r="D51" s="8" t="n">
        <v>0.5302</v>
      </c>
      <c r="E51" s="9">
        <f>ABS(C51-D51)*100</f>
        <v/>
      </c>
      <c r="F51" s="2" t="n">
        <v>1</v>
      </c>
      <c r="G51" s="10">
        <f>(C51-F51)^2</f>
        <v/>
      </c>
      <c r="H51" s="10">
        <f>(D51-F51)^2</f>
        <v/>
      </c>
      <c r="I51" s="2" t="inlineStr">
        <is>
          <t>clean</t>
        </is>
      </c>
    </row>
    <row r="52">
      <c r="A52" s="2" t="inlineStr">
        <is>
          <t>2026-08-06</t>
        </is>
      </c>
      <c r="B52" s="2" t="inlineStr">
        <is>
          <t>uecl-2026-08-06-din-bra</t>
        </is>
      </c>
      <c r="C52" s="8" t="n">
        <v>0.898</v>
      </c>
      <c r="D52" s="8" t="n">
        <v>0.898</v>
      </c>
      <c r="E52" s="9">
        <f>ABS(C52-D52)*100</f>
        <v/>
      </c>
      <c r="F52" s="2" t="n">
        <v>1</v>
      </c>
      <c r="G52" s="10">
        <f>(C52-F52)^2</f>
        <v/>
      </c>
      <c r="H52" s="10">
        <f>(D52-F52)^2</f>
        <v/>
      </c>
      <c r="I52" s="2" t="inlineStr">
        <is>
          <t>clean</t>
        </is>
      </c>
    </row>
    <row r="53">
      <c r="A53" s="2" t="inlineStr">
        <is>
          <t>2026-08-10</t>
        </is>
      </c>
      <c r="B53" s="2" t="inlineStr">
        <is>
          <t>mlb-2026-08-10-nym-atl</t>
        </is>
      </c>
      <c r="C53" s="8" t="n">
        <v>0.6088</v>
      </c>
      <c r="D53" s="8" t="n">
        <v>0.5757</v>
      </c>
      <c r="E53" s="9">
        <f>ABS(C53-D53)*100</f>
        <v/>
      </c>
      <c r="F53" s="2" t="n">
        <v>0</v>
      </c>
      <c r="G53" s="10">
        <f>(C53-F53)^2</f>
        <v/>
      </c>
      <c r="H53" s="10">
        <f>(D53-F53)^2</f>
        <v/>
      </c>
      <c r="I53" s="2" t="inlineStr">
        <is>
          <t>clean</t>
        </is>
      </c>
    </row>
    <row r="54">
      <c r="A54" s="2" t="inlineStr">
        <is>
          <t>2026-08-10</t>
        </is>
      </c>
      <c r="B54" s="2" t="inlineStr">
        <is>
          <t>mlb-2026-08-10-bos-tor</t>
        </is>
      </c>
      <c r="C54" s="8" t="n">
        <v>0.4078</v>
      </c>
      <c r="D54" s="8" t="n">
        <v>0.3991</v>
      </c>
      <c r="E54" s="9">
        <f>ABS(C54-D54)*100</f>
        <v/>
      </c>
      <c r="F54" s="2" t="n">
        <v>1</v>
      </c>
      <c r="G54" s="10">
        <f>(C54-F54)^2</f>
        <v/>
      </c>
      <c r="H54" s="10">
        <f>(D54-F54)^2</f>
        <v/>
      </c>
      <c r="I54" s="2" t="inlineStr">
        <is>
          <t>clean</t>
        </is>
      </c>
    </row>
    <row r="55">
      <c r="A55" s="2" t="inlineStr">
        <is>
          <t>2026-08-10</t>
        </is>
      </c>
      <c r="B55" s="2" t="inlineStr">
        <is>
          <t>wnba-2026-08-10-tor-atl</t>
        </is>
      </c>
      <c r="C55" s="8" t="n">
        <v>0.8693</v>
      </c>
      <c r="D55" s="8" t="n">
        <v>0.8693</v>
      </c>
      <c r="E55" s="9">
        <f>ABS(C55-D55)*100</f>
        <v/>
      </c>
      <c r="F55" s="2" t="n">
        <v>1</v>
      </c>
      <c r="G55" s="10">
        <f>(C55-F55)^2</f>
        <v/>
      </c>
      <c r="H55" s="10">
        <f>(D55-F55)^2</f>
        <v/>
      </c>
      <c r="I55" s="2" t="inlineStr">
        <is>
          <t>clean</t>
        </is>
      </c>
    </row>
    <row r="56">
      <c r="A56" s="2" t="inlineStr">
        <is>
          <t>2026-08-10</t>
        </is>
      </c>
      <c r="B56" s="2" t="inlineStr">
        <is>
          <t>wta-2026-08-10-shn-swi</t>
        </is>
      </c>
      <c r="C56" s="8" t="n">
        <v>0.7305</v>
      </c>
      <c r="D56" s="8" t="n">
        <v>0.7289</v>
      </c>
      <c r="E56" s="9">
        <f>ABS(C56-D56)*100</f>
        <v/>
      </c>
      <c r="F56" s="2" t="n">
        <v>1</v>
      </c>
      <c r="G56" s="10">
        <f>(C56-F56)^2</f>
        <v/>
      </c>
      <c r="H56" s="10">
        <f>(D56-F56)^2</f>
        <v/>
      </c>
      <c r="I56" s="2" t="inlineStr">
        <is>
          <t>clean</t>
        </is>
      </c>
    </row>
    <row r="57">
      <c r="A57" s="2" t="inlineStr">
        <is>
          <t>2026-08-10</t>
        </is>
      </c>
      <c r="B57" s="2" t="inlineStr">
        <is>
          <t>arg-2026-08-10-cc-uni</t>
        </is>
      </c>
      <c r="C57" s="8" t="n">
        <v>0.3265</v>
      </c>
      <c r="D57" s="8" t="n">
        <v>0.3265</v>
      </c>
      <c r="E57" s="9">
        <f>ABS(C57-D57)*100</f>
        <v/>
      </c>
      <c r="F57" s="2" t="n">
        <v>0</v>
      </c>
      <c r="G57" s="10">
        <f>(C57-F57)^2</f>
        <v/>
      </c>
      <c r="H57" s="10">
        <f>(D57-F57)^2</f>
        <v/>
      </c>
      <c r="I57" s="2" t="inlineStr">
        <is>
          <t>clean</t>
        </is>
      </c>
    </row>
    <row r="58">
      <c r="A58" s="2" t="inlineStr">
        <is>
          <t>2026-08-10</t>
        </is>
      </c>
      <c r="B58" s="2" t="inlineStr">
        <is>
          <t>mlb-2026-08-10-phi-stl</t>
        </is>
      </c>
      <c r="C58" s="8" t="n">
        <v>0.497</v>
      </c>
      <c r="D58" s="8" t="n">
        <v>0.4767</v>
      </c>
      <c r="E58" s="9">
        <f>ABS(C58-D58)*100</f>
        <v/>
      </c>
      <c r="F58" s="2" t="n">
        <v>0</v>
      </c>
      <c r="G58" s="10">
        <f>(C58-F58)^2</f>
        <v/>
      </c>
      <c r="H58" s="10">
        <f>(D58-F58)^2</f>
        <v/>
      </c>
      <c r="I58" s="2" t="inlineStr">
        <is>
          <t>clean</t>
        </is>
      </c>
    </row>
    <row r="59">
      <c r="A59" s="2" t="inlineStr">
        <is>
          <t>2026-08-10</t>
        </is>
      </c>
      <c r="B59" s="2" t="inlineStr">
        <is>
          <t>mlb-2026-08-10-bal-min</t>
        </is>
      </c>
      <c r="C59" s="8" t="n">
        <v>0.4957</v>
      </c>
      <c r="D59" s="8" t="n">
        <v>0.4814</v>
      </c>
      <c r="E59" s="9">
        <f>ABS(C59-D59)*100</f>
        <v/>
      </c>
      <c r="F59" s="2" t="n">
        <v>1</v>
      </c>
      <c r="G59" s="10">
        <f>(C59-F59)^2</f>
        <v/>
      </c>
      <c r="H59" s="10">
        <f>(D59-F59)^2</f>
        <v/>
      </c>
      <c r="I59" s="2" t="inlineStr">
        <is>
          <t>clean</t>
        </is>
      </c>
    </row>
    <row r="60">
      <c r="A60" s="2" t="inlineStr">
        <is>
          <t>2026-08-10</t>
        </is>
      </c>
      <c r="B60" s="2" t="inlineStr">
        <is>
          <t>mlb-2026-08-10-col-az</t>
        </is>
      </c>
      <c r="C60" s="8" t="n">
        <v>0.6313</v>
      </c>
      <c r="D60" s="8" t="n">
        <v>0.6526999999999999</v>
      </c>
      <c r="E60" s="9">
        <f>ABS(C60-D60)*100</f>
        <v/>
      </c>
      <c r="F60" s="2" t="n">
        <v>1</v>
      </c>
      <c r="G60" s="10">
        <f>(C60-F60)^2</f>
        <v/>
      </c>
      <c r="H60" s="10">
        <f>(D60-F60)^2</f>
        <v/>
      </c>
      <c r="I60" s="2" t="inlineStr">
        <is>
          <t>clean</t>
        </is>
      </c>
    </row>
    <row r="61">
      <c r="A61" s="2" t="inlineStr">
        <is>
          <t>2026-08-10</t>
        </is>
      </c>
      <c r="B61" s="2" t="inlineStr">
        <is>
          <t>mlb-2026-08-10-tb-ath</t>
        </is>
      </c>
      <c r="C61" s="8" t="n">
        <v>0.4057</v>
      </c>
      <c r="D61" s="8" t="n">
        <v>0.4074</v>
      </c>
      <c r="E61" s="9">
        <f>ABS(C61-D61)*100</f>
        <v/>
      </c>
      <c r="F61" s="2" t="n">
        <v>0</v>
      </c>
      <c r="G61" s="10">
        <f>(C61-F61)^2</f>
        <v/>
      </c>
      <c r="H61" s="10">
        <f>(D61-F61)^2</f>
        <v/>
      </c>
      <c r="I61" s="2" t="inlineStr">
        <is>
          <t>clean</t>
        </is>
      </c>
    </row>
    <row r="62">
      <c r="A62" s="2" t="inlineStr">
        <is>
          <t>2026-08-10</t>
        </is>
      </c>
      <c r="B62" s="2" t="inlineStr">
        <is>
          <t>mlb-2026-08-10-hou-sf</t>
        </is>
      </c>
      <c r="C62" s="8" t="n">
        <v>0.411</v>
      </c>
      <c r="D62" s="8" t="n">
        <v>0.4162</v>
      </c>
      <c r="E62" s="9">
        <f>ABS(C62-D62)*100</f>
        <v/>
      </c>
      <c r="F62" s="2" t="n">
        <v>0</v>
      </c>
      <c r="G62" s="10">
        <f>(C62-F62)^2</f>
        <v/>
      </c>
      <c r="H62" s="10">
        <f>(D62-F62)^2</f>
        <v/>
      </c>
      <c r="I62" s="2" t="inlineStr">
        <is>
          <t>clean</t>
        </is>
      </c>
    </row>
    <row r="63">
      <c r="A63" s="2" t="inlineStr">
        <is>
          <t>2026-08-10</t>
        </is>
      </c>
      <c r="B63" s="2" t="inlineStr">
        <is>
          <t>mlb-2026-08-10-tex-laa</t>
        </is>
      </c>
      <c r="C63" s="8" t="n">
        <v>0.4789</v>
      </c>
      <c r="D63" s="8" t="n">
        <v>0.4814</v>
      </c>
      <c r="E63" s="9">
        <f>ABS(C63-D63)*100</f>
        <v/>
      </c>
      <c r="F63" s="2" t="n">
        <v>0</v>
      </c>
      <c r="G63" s="10">
        <f>(C63-F63)^2</f>
        <v/>
      </c>
      <c r="H63" s="10">
        <f>(D63-F63)^2</f>
        <v/>
      </c>
      <c r="I63" s="2" t="inlineStr">
        <is>
          <t>clean</t>
        </is>
      </c>
    </row>
    <row r="64">
      <c r="A64" s="2" t="inlineStr">
        <is>
          <t>2026-08-10</t>
        </is>
      </c>
      <c r="B64" s="2" t="inlineStr">
        <is>
          <t>wta-2026-08-10-ale-svi</t>
        </is>
      </c>
      <c r="C64" s="8" t="n">
        <v>0.6999</v>
      </c>
      <c r="D64" s="8" t="n">
        <v>0.6801</v>
      </c>
      <c r="E64" s="9">
        <f>ABS(C64-D64)*100</f>
        <v/>
      </c>
      <c r="F64" s="2" t="n">
        <v>1</v>
      </c>
      <c r="G64" s="10">
        <f>(C64-F64)^2</f>
        <v/>
      </c>
      <c r="H64" s="10">
        <f>(D64-F64)^2</f>
        <v/>
      </c>
      <c r="I64" s="2" t="inlineStr">
        <is>
          <t>clean</t>
        </is>
      </c>
    </row>
    <row r="65">
      <c r="A65" s="2" t="inlineStr">
        <is>
          <t>2026-08-11</t>
        </is>
      </c>
      <c r="B65" s="2" t="inlineStr">
        <is>
          <t>mlb-2026-08-11-cle-det</t>
        </is>
      </c>
      <c r="C65" s="8" t="n">
        <v>0.4737</v>
      </c>
      <c r="D65" s="8" t="n">
        <v>0.5372</v>
      </c>
      <c r="E65" s="9">
        <f>ABS(C65-D65)*100</f>
        <v/>
      </c>
      <c r="F65" s="2" t="n">
        <v>1</v>
      </c>
      <c r="G65" s="10">
        <f>(C65-F65)^2</f>
        <v/>
      </c>
      <c r="H65" s="10">
        <f>(D65-F65)^2</f>
        <v/>
      </c>
      <c r="I65" s="2" t="inlineStr">
        <is>
          <t>clean</t>
        </is>
      </c>
    </row>
    <row r="66">
      <c r="A66" s="2" t="inlineStr">
        <is>
          <t>2026-08-11</t>
        </is>
      </c>
      <c r="B66" s="2" t="inlineStr">
        <is>
          <t>mlb-2026-08-11-tb-ath</t>
        </is>
      </c>
      <c r="C66" s="8" t="n">
        <v>0.4042</v>
      </c>
      <c r="D66" s="8" t="n">
        <v>0.3655</v>
      </c>
      <c r="E66" s="9">
        <f>ABS(C66-D66)*100</f>
        <v/>
      </c>
      <c r="F66" s="2" t="n">
        <v>0</v>
      </c>
      <c r="G66" s="10">
        <f>(C66-F66)^2</f>
        <v/>
      </c>
      <c r="H66" s="10">
        <f>(D66-F66)^2</f>
        <v/>
      </c>
      <c r="I66" s="2" t="inlineStr">
        <is>
          <t>clean</t>
        </is>
      </c>
    </row>
    <row r="67">
      <c r="A67" s="2" t="inlineStr">
        <is>
          <t>2026-08-11</t>
        </is>
      </c>
      <c r="B67" s="2" t="inlineStr">
        <is>
          <t>mlb-2026-08-11-sea-nyy</t>
        </is>
      </c>
      <c r="C67" s="8" t="n">
        <v>0.5504</v>
      </c>
      <c r="D67" s="8" t="n">
        <v>0.5454</v>
      </c>
      <c r="E67" s="9">
        <f>ABS(C67-D67)*100</f>
        <v/>
      </c>
      <c r="F67" s="2" t="n">
        <v>1</v>
      </c>
      <c r="G67" s="10">
        <f>(C67-F67)^2</f>
        <v/>
      </c>
      <c r="H67" s="10">
        <f>(D67-F67)^2</f>
        <v/>
      </c>
      <c r="I67" s="2" t="inlineStr">
        <is>
          <t>clean</t>
        </is>
      </c>
    </row>
    <row r="68">
      <c r="A68" s="2" t="inlineStr">
        <is>
          <t>2026-08-11</t>
        </is>
      </c>
      <c r="B68" s="2" t="inlineStr">
        <is>
          <t>mlb-2026-08-11-pit-mia</t>
        </is>
      </c>
      <c r="C68" s="8" t="n">
        <v>0.4751</v>
      </c>
      <c r="D68" s="8" t="n">
        <v>0.4851</v>
      </c>
      <c r="E68" s="9">
        <f>ABS(C68-D68)*100</f>
        <v/>
      </c>
      <c r="F68" s="2" t="n">
        <v>1</v>
      </c>
      <c r="G68" s="10">
        <f>(C68-F68)^2</f>
        <v/>
      </c>
      <c r="H68" s="10">
        <f>(D68-F68)^2</f>
        <v/>
      </c>
      <c r="I68" s="2" t="inlineStr">
        <is>
          <t>clean</t>
        </is>
      </c>
    </row>
    <row r="69">
      <c r="A69" s="2" t="inlineStr">
        <is>
          <t>2026-08-11</t>
        </is>
      </c>
      <c r="B69" s="2" t="inlineStr">
        <is>
          <t>mlb-2026-08-11-nym-atl</t>
        </is>
      </c>
      <c r="C69" s="8" t="n">
        <v>0.6398</v>
      </c>
      <c r="D69" s="8" t="n">
        <v>0.5434</v>
      </c>
      <c r="E69" s="9">
        <f>ABS(C69-D69)*100</f>
        <v/>
      </c>
      <c r="F69" s="2" t="n">
        <v>1</v>
      </c>
      <c r="G69" s="10">
        <f>(C69-F69)^2</f>
        <v/>
      </c>
      <c r="H69" s="10">
        <f>(D69-F69)^2</f>
        <v/>
      </c>
      <c r="I69" s="2" t="inlineStr">
        <is>
          <t>clean</t>
        </is>
      </c>
    </row>
    <row r="70">
      <c r="A70" s="2" t="inlineStr">
        <is>
          <t>2026-08-11</t>
        </is>
      </c>
      <c r="B70" s="2" t="inlineStr">
        <is>
          <t>mlb-2026-08-11-col-az</t>
        </is>
      </c>
      <c r="C70" s="8" t="n">
        <v>0.6277</v>
      </c>
      <c r="D70" s="8" t="n">
        <v>0.622</v>
      </c>
      <c r="E70" s="9">
        <f>ABS(C70-D70)*100</f>
        <v/>
      </c>
      <c r="F70" s="2" t="n">
        <v>0</v>
      </c>
      <c r="G70" s="10">
        <f>(C70-F70)^2</f>
        <v/>
      </c>
      <c r="H70" s="10">
        <f>(D70-F70)^2</f>
        <v/>
      </c>
      <c r="I70" s="2" t="inlineStr">
        <is>
          <t>clean</t>
        </is>
      </c>
    </row>
    <row r="71">
      <c r="A71" s="2" t="inlineStr">
        <is>
          <t>2026-08-11</t>
        </is>
      </c>
      <c r="B71" s="2" t="inlineStr">
        <is>
          <t>lc-2026-08-11-pum-clb</t>
        </is>
      </c>
      <c r="C71" s="8" t="n">
        <v>0.6123</v>
      </c>
      <c r="D71" s="8" t="n">
        <v>0.6123</v>
      </c>
      <c r="E71" s="9">
        <f>ABS(C71-D71)*100</f>
        <v/>
      </c>
      <c r="F71" s="2" t="n">
        <v>0</v>
      </c>
      <c r="G71" s="10">
        <f>(C71-F71)^2</f>
        <v/>
      </c>
      <c r="H71" s="10">
        <f>(D71-F71)^2</f>
        <v/>
      </c>
      <c r="I71" s="2" t="inlineStr">
        <is>
          <t>clean</t>
        </is>
      </c>
    </row>
    <row r="72">
      <c r="A72" s="2" t="inlineStr">
        <is>
          <t>2026-08-11</t>
        </is>
      </c>
      <c r="B72" s="2" t="inlineStr">
        <is>
          <t>lc-2026-08-11-jua-rsl</t>
        </is>
      </c>
      <c r="C72" s="8" t="n">
        <v>0.5406</v>
      </c>
      <c r="D72" s="8" t="n">
        <v>0.5504</v>
      </c>
      <c r="E72" s="9">
        <f>ABS(C72-D72)*100</f>
        <v/>
      </c>
      <c r="F72" s="2" t="n">
        <v>1</v>
      </c>
      <c r="G72" s="10">
        <f>(C72-F72)^2</f>
        <v/>
      </c>
      <c r="H72" s="10">
        <f>(D72-F72)^2</f>
        <v/>
      </c>
      <c r="I72" s="2" t="inlineStr">
        <is>
          <t>clean</t>
        </is>
      </c>
    </row>
    <row r="73">
      <c r="A73" s="2" t="inlineStr">
        <is>
          <t>2026-08-11</t>
        </is>
      </c>
      <c r="B73" s="2" t="inlineStr">
        <is>
          <t>ucl-2026-08-11-spa-lyo</t>
        </is>
      </c>
      <c r="C73" s="8" t="n">
        <v>0.678</v>
      </c>
      <c r="D73" s="8" t="n">
        <v>0.7233000000000001</v>
      </c>
      <c r="E73" s="9">
        <f>ABS(C73-D73)*100</f>
        <v/>
      </c>
      <c r="F73" s="2" t="n">
        <v>1</v>
      </c>
      <c r="G73" s="10">
        <f>(C73-F73)^2</f>
        <v/>
      </c>
      <c r="H73" s="10">
        <f>(D73-F73)^2</f>
        <v/>
      </c>
      <c r="I73" s="2" t="inlineStr">
        <is>
          <t>clean</t>
        </is>
      </c>
    </row>
    <row r="74">
      <c r="A74" s="2" t="inlineStr">
        <is>
          <t>2026-08-11</t>
        </is>
      </c>
      <c r="B74" s="2" t="inlineStr">
        <is>
          <t>ucl-2026-08-11-fen-stu</t>
        </is>
      </c>
      <c r="C74" s="8" t="n">
        <v>0.2391</v>
      </c>
      <c r="D74" s="8" t="n">
        <v>0.2474</v>
      </c>
      <c r="E74" s="9">
        <f>ABS(C74-D74)*100</f>
        <v/>
      </c>
      <c r="F74" s="2" t="n">
        <v>0</v>
      </c>
      <c r="G74" s="10">
        <f>(C74-F74)^2</f>
        <v/>
      </c>
      <c r="H74" s="10">
        <f>(D74-F74)^2</f>
        <v/>
      </c>
      <c r="I74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[WORKED] STL @ NYY (7:05 PM ET Mon): 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41">
      <c r="A41" s="21" t="inlineStr">
        <is>
          <t>[WORKED] SFG @ TEX (8:05 PM ET Mon): NOT FILLED - TEX never reached plus-money (observed -105 to -125 across books; +103 trigger unreached), then lost 1-5 with five errors behind Webb's 6 shutout IP. Second unfilled loser dodged on the day.</t>
        </is>
      </c>
    </row>
    <row r="42">
      <c r="A42" s="21" t="inlineStr">
        <is>
          <t>[WORKED] SDP @ AZ (9:40 PM ET Mon): 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43">
      <c r="A43" s="21" t="inlineStr">
        <is>
          <t>[WORKED] ATH @ CIN (start time unverified; typical 12:35 PM ET getaway): 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44">
      <c r="A44" s="21" t="inlineStr">
        <is>
          <t>[WORKED] Dinamo Minsk @ Braga (UECL Q3 leg 1; kickoff ~3:00-3:45 PM ET assumed): 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45">
      <c r="A45" s="21" t="inlineStr">
        <is>
          <t>[WORKED] ARI @ CAR, Hall of Fame Game (8:00 PM ET Thu, Canton - neutral site): 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46">
      <c r="A46" s="21" t="inlineStr">
        <is>
          <t>[WORKED] ARI @ CAR (HOF Game): 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47">
      <c r="A47" s="21" t="inlineStr">
        <is>
          <t>[WORKED] Shnaider vs Swiatek, WTA Toronto QF (7:00 PM ET Mon): NOT FILLED: no book ever printed 1.403+ (-285/-300 everywhere). Swiatek won 6-2 6-1 - a missed winner, which is the cost side of the same discipline that has dodged three losers. The bar cuts both ways; that is the design.</t>
        </is>
      </c>
    </row>
    <row r="48">
      <c r="A48" s="21" t="inlineStr">
        <is>
          <t>[WORKED] COL @ AZ (Chase Field, evening - exact time TBC): NOT FILLED: line moved AWAY from the order all day (-179 -&gt; -190s; the -164 outlier board never reached -160). Game in progress at grading - outcome irrelevant to an unfilled order.</t>
        </is>
      </c>
    </row>
    <row r="49">
      <c r="A49" s="21" t="inlineStr">
        <is>
          <t>[WORKED] KC @ LAD (10:10 PM ET Mon - Skubal home debut): VALIDATED, with the sharpest twist yet: the definitive Monday close was LAD -325/-330 (FanDuel + 'other oddsmakers' + Polymarket 74c all agree near 76%) - the -160 board we saw was itself a stale/erroneous print. The conflict was real, and this time the BOOK leg was the garbage and the prediction market was near truth (mirror of the Aug-1 stale 'CHC 1.62'). The rule doesn't care which source lies - it refuses the disagreement. LAD needed a 7th-inning rally to win 6-5. 7-for-7 on refusals/flags.</t>
        </is>
      </c>
    </row>
    <row r="50">
      <c r="A50" s="21" t="inlineStr">
        <is>
          <t>[WORKED] CLE @ DET (6:40 PM ET Tue, Comerica): NOT FILLED - the market ran the other way, hard: DET +113 Monday night -&gt; -120/-121 favorite at first pitch. No +116 ever printed. DET won 6-4, so another would-have-won missed - but the swing's SIZE is the lesson: an overnight board can embed a different starting pitcher than game-day reality (Drew Anderson started). Listed-pitcher rule: every future order names its assumed starters, and a change voids the premise (Skenes-scratch lesson, Jul 30, finally codified).</t>
        </is>
      </c>
    </row>
    <row r="51">
      <c r="A51" s="21" t="inlineStr">
        <is>
          <t>[WORKED] TB @ ATH (9:40 PM ET Tue): NOT FILLED - TB shortened -146 -&gt; -180 and won 12-4. Fourth straight unfilled order whose side won. Tempting to call the bar too high; the ledger says otherwise - the only two orders that DID fill both carried negative CLV and went 1-1. Unfilled winners are the visible cost of refusing bad prices; filled losers are the invisible cost of chasing. No parameter change (Walters rule).</t>
        </is>
      </c>
    </row>
    <row r="52">
      <c r="A52" s="21" t="inlineStr">
        <is>
          <t>[WORKED] KC @ LAD (10:10 PM ET Tue): Book LAD -285 vs Polymarket 72c: nearly agreeing today, but cross-source best prices still net -0.99% hold - the rule is binary and fires the same on small conflicts as wide ones (that binariness is the Cubs-3.7pt lesson). 6th application. Monday's refusal grades at its close next cycle alongside this one. || SETTLED: close LAD -275 (~70-71% no-vig) vs Polymarket 72c - the sources converged AT the close, meaning no exploitable edge ever existed. LAD won 5-4. Refusals now 8-for-8.</t>
        </is>
      </c>
    </row>
    <row r="53">
      <c r="A53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54">
      <c r="A54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55">
      <c r="A55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56">
      <c r="A56" s="21" t="inlineStr">
        <is>
          <t>[DIDN'T] MIA @ NYM: VOID - shipped after the 1:40 PM ET first pitch (same process miss as the headline order). No bet placed, none should be.</t>
        </is>
      </c>
    </row>
    <row r="57">
      <c r="A57" s="21" t="inlineStr">
        <is>
          <t>[DIDN'T] Calibration: flagged-source fair lines (conflict / date trap / low-confidence close) missed the no-vig close by 4.93 pts on average vs 1.69 pts for clean sources — source hygiene IS calibration.</t>
        </is>
      </c>
    </row>
    <row r="59">
      <c r="A59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2026-08-12T17:53:12Z</dcterms:created>
  <dcterms:modified xsi:type="dcterms:W3CDTF">2026-08-12T17:53:12Z</dcterms:modified>
</cp:coreProperties>
</file>