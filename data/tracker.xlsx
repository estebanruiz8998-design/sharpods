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order_unfilled</t>
        </is>
      </c>
      <c r="E10" s="3" t="n">
        <v>2.231</v>
      </c>
      <c r="F10" s="3" t="n"/>
      <c r="G10" s="4" t="n">
        <v>0</v>
      </c>
      <c r="H10" s="2" t="inlineStr">
        <is>
          <t>no fill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worked</t>
        </is>
      </c>
      <c r="N10" s="2" t="inlineStr">
        <is>
          <t>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superseded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validated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worked</t>
        </is>
      </c>
      <c r="N12" s="2" t="inlineStr">
        <is>
          <t>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validated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worked</t>
        </is>
      </c>
      <c r="N13" s="2" t="inlineStr">
        <is>
          <t>Braves 8-3. Polymarket-only board stayed unpriced per the 0.45-sharpness demotion; no book close collected for this game.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order_unfilled</t>
        </is>
      </c>
      <c r="E14" s="3" t="n">
        <v>2.225</v>
      </c>
      <c r="F14" s="3" t="n"/>
      <c r="G14" s="4" t="n">
        <v>0</v>
      </c>
      <c r="H14" s="2" t="inlineStr">
        <is>
          <t>no fill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worked</t>
        </is>
      </c>
      <c r="N14" s="2" t="inlineStr">
        <is>
          <t>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order_unfilled</t>
        </is>
      </c>
      <c r="E15" s="3" t="n">
        <v>2.23</v>
      </c>
      <c r="F15" s="3" t="n"/>
      <c r="G15" s="4" t="n">
        <v>0</v>
      </c>
      <c r="H15" s="2" t="inlineStr">
        <is>
          <t>no fill</t>
        </is>
      </c>
      <c r="I15" s="5" t="n">
        <v>0</v>
      </c>
      <c r="J15" s="6" t="n"/>
      <c r="K15" s="6" t="n"/>
      <c r="L15" s="2" t="inlineStr">
        <is>
          <t>clean</t>
        </is>
      </c>
      <c r="M15" s="2" t="inlineStr">
        <is>
          <t>worked</t>
        </is>
      </c>
      <c r="N15" s="2" t="inlineStr">
        <is>
          <t>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16">
      <c r="A16" s="2" t="inlineStr">
        <is>
          <t>2026-08-02</t>
        </is>
      </c>
      <c r="B16" s="2" t="inlineStr">
        <is>
          <t>WSH @ ATL</t>
        </is>
      </c>
      <c r="C16" s="2" t="inlineStr">
        <is>
          <t>Braves ML</t>
        </is>
      </c>
      <c r="D16" s="2" t="inlineStr">
        <is>
          <t>order_void</t>
        </is>
      </c>
      <c r="E16" s="3" t="n">
        <v>1.866</v>
      </c>
      <c r="F16" s="3" t="n"/>
      <c r="G16" s="4" t="n">
        <v>0</v>
      </c>
      <c r="H16" s="2" t="inlineStr">
        <is>
          <t>no fill</t>
        </is>
      </c>
      <c r="I16" s="5" t="n">
        <v>0</v>
      </c>
      <c r="J16" s="6" t="n"/>
      <c r="K16" s="6" t="n"/>
      <c r="L16" s="2" t="inlineStr">
        <is>
          <t>clean</t>
        </is>
      </c>
      <c r="M16" s="2" t="inlineStr">
        <is>
          <t>miss</t>
        </is>
      </c>
      <c r="N16" s="2" t="inlineStr">
        <is>
          <t>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17">
      <c r="A17" s="2" t="inlineStr">
        <is>
          <t>2026-08-02</t>
        </is>
      </c>
      <c r="B17" s="2" t="inlineStr">
        <is>
          <t>BOS @ LAD (Sunday Night Baseball)</t>
        </is>
      </c>
      <c r="C17" s="2" t="inlineStr">
        <is>
          <t>Dodgers ML</t>
        </is>
      </c>
      <c r="D17" s="2" t="inlineStr">
        <is>
          <t>order_void</t>
        </is>
      </c>
      <c r="E17" s="3" t="n">
        <v>1.666</v>
      </c>
      <c r="F17" s="3" t="n"/>
      <c r="G17" s="4" t="n">
        <v>0</v>
      </c>
      <c r="H17" s="2" t="inlineStr">
        <is>
          <t>no fill</t>
        </is>
      </c>
      <c r="I17" s="5" t="n">
        <v>0</v>
      </c>
      <c r="J17" s="6" t="n"/>
      <c r="K17" s="6" t="n"/>
      <c r="L17" s="2" t="inlineStr">
        <is>
          <t>clean</t>
        </is>
      </c>
      <c r="M17" s="2" t="inlineStr">
        <is>
          <t>miss</t>
        </is>
      </c>
      <c r="N17" s="2" t="inlineStr">
        <is>
          <t>VOID - cancelled at 7:03 PM ET with first pitch 7:20 PM ET: no time to re-verify the line, and every price on the card is a morning-stale snapshot. An unsupervisable order is not an order.</t>
        </is>
      </c>
    </row>
    <row r="18">
      <c r="A18" s="2" t="inlineStr">
        <is>
          <t>2026-08-02</t>
        </is>
      </c>
      <c r="B18" s="2" t="inlineStr">
        <is>
          <t>MIA @ NYM</t>
        </is>
      </c>
      <c r="C18" s="2" t="inlineStr">
        <is>
          <t>Marlins ML</t>
        </is>
      </c>
      <c r="D18" s="2" t="inlineStr">
        <is>
          <t>order_void</t>
        </is>
      </c>
      <c r="E18" s="3" t="n">
        <v>1.925</v>
      </c>
      <c r="F18" s="3" t="n"/>
      <c r="G18" s="4" t="n">
        <v>0</v>
      </c>
      <c r="H18" s="2" t="inlineStr">
        <is>
          <t>no fill</t>
        </is>
      </c>
      <c r="I18" s="5" t="n">
        <v>0</v>
      </c>
      <c r="J18" s="6" t="n"/>
      <c r="K18" s="6" t="n"/>
      <c r="L18" s="2" t="inlineStr">
        <is>
          <t>clean</t>
        </is>
      </c>
      <c r="M18" s="2" t="inlineStr">
        <is>
          <t>miss</t>
        </is>
      </c>
      <c r="N18" s="2" t="inlineStr">
        <is>
          <t>VOID - shipped after the 1:40 PM ET first pitch (same process miss as the headline order). No bet placed, none should be.</t>
        </is>
      </c>
    </row>
    <row r="19">
      <c r="A19" s="2" t="inlineStr">
        <is>
          <t>2026-08-02</t>
        </is>
      </c>
      <c r="B19" s="2" t="inlineStr">
        <is>
          <t>PIT @ CIN</t>
        </is>
      </c>
      <c r="C19" s="2" t="inlineStr">
        <is>
          <t>Moneyline refused (conflict rule)</t>
        </is>
      </c>
      <c r="D19" s="2" t="inlineStr">
        <is>
          <t>refusal</t>
        </is>
      </c>
      <c r="E19" s="3" t="n"/>
      <c r="F19" s="3" t="n"/>
      <c r="G19" s="4" t="n">
        <v>0</v>
      </c>
      <c r="H19" s="2" t="inlineStr">
        <is>
          <t>validated</t>
        </is>
      </c>
      <c r="I19" s="5" t="n">
        <v>0</v>
      </c>
      <c r="J19" s="6" t="n"/>
      <c r="K19" s="6" t="n"/>
      <c r="L19" s="2" t="inlineStr">
        <is>
          <t>conflict</t>
        </is>
      </c>
      <c r="M19" s="2" t="inlineStr">
        <is>
          <t>worked</t>
        </is>
      </c>
      <c r="N19" s="2" t="inlineStr">
        <is>
          <t>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20">
      <c r="A20" s="2" t="inlineStr">
        <is>
          <t>2026-08-03</t>
        </is>
      </c>
      <c r="B20" s="2" t="inlineStr">
        <is>
          <t>STL @ NYY (7:05 PM ET Mon)</t>
        </is>
      </c>
      <c r="C20" s="2" t="inlineStr">
        <is>
          <t>Yankees ML</t>
        </is>
      </c>
      <c r="D20" s="2" t="inlineStr">
        <is>
          <t>order_unfilled</t>
        </is>
      </c>
      <c r="E20" s="3" t="n">
        <v>1.599</v>
      </c>
      <c r="F20" s="3" t="n"/>
      <c r="G20" s="4" t="n">
        <v>0</v>
      </c>
      <c r="H20" s="2" t="inlineStr">
        <is>
          <t>no fill</t>
        </is>
      </c>
      <c r="I20" s="5" t="n">
        <v>0</v>
      </c>
      <c r="J20" s="6" t="n"/>
      <c r="K20" s="6" t="n"/>
      <c r="L20" s="2" t="inlineStr">
        <is>
          <t>clean</t>
        </is>
      </c>
      <c r="M20" s="2" t="inlineStr">
        <is>
          <t>worked</t>
        </is>
      </c>
      <c r="N20" s="2" t="inlineStr">
        <is>
          <t>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21">
      <c r="A21" s="2" t="inlineStr">
        <is>
          <t>2026-08-03</t>
        </is>
      </c>
      <c r="B21" s="2" t="inlineStr">
        <is>
          <t>SEA @ NYL (7:00 PM ET Mon)</t>
        </is>
      </c>
      <c r="C21" s="2" t="inlineStr">
        <is>
          <t>Liberty ML</t>
        </is>
      </c>
      <c r="D21" s="2" t="inlineStr">
        <is>
          <t>order_filled_paper</t>
        </is>
      </c>
      <c r="E21" s="3" t="n">
        <v>1.278</v>
      </c>
      <c r="F21" s="3" t="n">
        <v>1.278</v>
      </c>
      <c r="G21" s="4" t="n">
        <v>0</v>
      </c>
      <c r="H21" s="2" t="inlineStr">
        <is>
          <t>won</t>
        </is>
      </c>
      <c r="I21" s="5" t="n">
        <v>0</v>
      </c>
      <c r="J21" s="6" t="n">
        <v>-0.0318</v>
      </c>
      <c r="K21" s="6" t="n">
        <v>-0.0536</v>
      </c>
      <c r="L21" s="2" t="inlineStr">
        <is>
          <t>clean</t>
        </is>
      </c>
      <c r="M21" s="2" t="inlineStr">
        <is>
          <t>flagged</t>
        </is>
      </c>
      <c r="N21" s="2" t="inlineStr">
        <is>
          <t>FILL CONDITION MET AND CASHED - but read the CLV. Liberty drifted -450 -&gt; -315 close, straight through the 1.278 trigger, and won 95-83. At the conservative fill (1.278) that is NEGATIVE CLV vs the ~1.35 no-vig close: a resting limit order fills precisely when the market moves through it - adverse selection (Walters: the drift was information; the market said the Storm were live-r than our day-old board). Paper grade only, stake 0: this was a backup order, not the headline, and the user bets headline only.</t>
        </is>
      </c>
    </row>
    <row r="22">
      <c r="A22" s="2" t="inlineStr">
        <is>
          <t>2026-08-03</t>
        </is>
      </c>
      <c r="B22" s="2" t="inlineStr">
        <is>
          <t>SFG @ TEX (8:05 PM ET Mon)</t>
        </is>
      </c>
      <c r="C22" s="2" t="inlineStr">
        <is>
          <t>Rangers ML</t>
        </is>
      </c>
      <c r="D22" s="2" t="inlineStr">
        <is>
          <t>order_unfilled</t>
        </is>
      </c>
      <c r="E22" s="3" t="n">
        <v>2.03</v>
      </c>
      <c r="F22" s="3" t="n"/>
      <c r="G22" s="4" t="n">
        <v>0</v>
      </c>
      <c r="H22" s="2" t="inlineStr">
        <is>
          <t>no fill</t>
        </is>
      </c>
      <c r="I22" s="5" t="n">
        <v>0</v>
      </c>
      <c r="J22" s="6" t="n"/>
      <c r="K22" s="6" t="n"/>
      <c r="L22" s="2" t="inlineStr">
        <is>
          <t>clean</t>
        </is>
      </c>
      <c r="M22" s="2" t="inlineStr">
        <is>
          <t>worked</t>
        </is>
      </c>
      <c r="N22" s="2" t="inlineStr">
        <is>
          <t>NOT FILLED - TEX never reached plus-money (observed -105 to -125 across books; +103 trigger unreached), then lost 1-5 with five errors behind Webb's 6 shutout IP. Second unfilled loser dodged on the day.</t>
        </is>
      </c>
    </row>
    <row r="23">
      <c r="A23" s="2" t="inlineStr">
        <is>
          <t>2026-08-03</t>
        </is>
      </c>
      <c r="B23" s="2" t="inlineStr">
        <is>
          <t>SDP @ AZ (9:40 PM ET Mon)</t>
        </is>
      </c>
      <c r="C23" s="2" t="inlineStr">
        <is>
          <t>Board rejected pre-slate (garbled quotes)</t>
        </is>
      </c>
      <c r="D23" s="2" t="inlineStr">
        <is>
          <t>flag</t>
        </is>
      </c>
      <c r="E23" s="3" t="n"/>
      <c r="F23" s="3" t="n"/>
      <c r="G23" s="4" t="n">
        <v>0</v>
      </c>
      <c r="H23" s="2" t="inlineStr">
        <is>
          <t>validated</t>
        </is>
      </c>
      <c r="I23" s="5" t="n">
        <v>0</v>
      </c>
      <c r="J23" s="6" t="n"/>
      <c r="K23" s="6" t="n"/>
      <c r="L23" s="2" t="inlineStr">
        <is>
          <t>conflict</t>
        </is>
      </c>
      <c r="M23" s="2" t="inlineStr">
        <is>
          <t>worked</t>
        </is>
      </c>
      <c r="N23" s="2" t="inlineStr">
        <is>
          <t>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24">
      <c r="A24" s="2" t="inlineStr">
        <is>
          <t>2026-08-06</t>
        </is>
      </c>
      <c r="B24" s="2" t="inlineStr">
        <is>
          <t>ATH @ CIN (start time unverified; typical 12:35 PM ET getaway)</t>
        </is>
      </c>
      <c r="C24" s="2" t="inlineStr">
        <is>
          <t>Reds ML</t>
        </is>
      </c>
      <c r="D24" s="2" t="inlineStr">
        <is>
          <t>order_unfilled</t>
        </is>
      </c>
      <c r="E24" s="3" t="n">
        <v>1.679</v>
      </c>
      <c r="F24" s="3" t="n"/>
      <c r="G24" s="4" t="n">
        <v>0</v>
      </c>
      <c r="H24" s="2" t="inlineStr">
        <is>
          <t>no fill</t>
        </is>
      </c>
      <c r="I24" s="5" t="n">
        <v>0</v>
      </c>
      <c r="J24" s="6" t="n"/>
      <c r="K24" s="6" t="n"/>
      <c r="L24" s="2" t="inlineStr">
        <is>
          <t>clean</t>
        </is>
      </c>
      <c r="M24" s="2" t="inlineStr">
        <is>
          <t>worked</t>
        </is>
      </c>
      <c r="N24" s="2" t="inlineStr">
        <is>
          <t>NOT FILLED: CIN drifted our way (-171 open -&gt; -158 at first pitch) but never reached the -147 (1.679) bar; best documented 1.633. CIN won 6-5, and a 1.679 fill would have carried +2.8% raw CLV vs the close - right side, right price demand, market never paid it. Reverse line movement toward the road dog noted pregame; the bar held anyway.</t>
        </is>
      </c>
    </row>
    <row r="25">
      <c r="A25" s="2" t="inlineStr">
        <is>
          <t>2026-08-06</t>
        </is>
      </c>
      <c r="B25" s="2" t="inlineStr">
        <is>
          <t>Dinamo Minsk @ Braga (UECL Q3 leg 1; kickoff ~3:00-3:45 PM ET assumed)</t>
        </is>
      </c>
      <c r="C25" s="2" t="inlineStr">
        <is>
          <t>Braga ML (3-way, draw/away lose)</t>
        </is>
      </c>
      <c r="D25" s="2" t="inlineStr">
        <is>
          <t>order_unfilled</t>
        </is>
      </c>
      <c r="E25" s="3" t="n">
        <v>1.141</v>
      </c>
      <c r="F25" s="3" t="n"/>
      <c r="G25" s="4" t="n">
        <v>0</v>
      </c>
      <c r="H25" s="2" t="inlineStr">
        <is>
          <t>no fill</t>
        </is>
      </c>
      <c r="I25" s="5" t="n">
        <v>0</v>
      </c>
      <c r="J25" s="6" t="n"/>
      <c r="K25" s="6" t="n"/>
      <c r="L25" s="2" t="inlineStr">
        <is>
          <t>clean</t>
        </is>
      </c>
      <c r="M25" s="2" t="inlineStr">
        <is>
          <t>worked</t>
        </is>
      </c>
      <c r="N25" s="2" t="inlineStr">
        <is>
          <t>NOT FILLED: Braga sat 1.10-1.11 everywhere pre-match; the 1.141 re-verified quote never existed. Braga won 1-0. The demotion logic validated exactly: on extreme favorites the only 'fills' available are cross-book noise, and even that noise stayed under 4 cents.</t>
        </is>
      </c>
    </row>
    <row r="26">
      <c r="A26" s="2" t="inlineStr">
        <is>
          <t>2026-08-06</t>
        </is>
      </c>
      <c r="B26" s="2" t="inlineStr">
        <is>
          <t>ARI @ CAR, Hall of Fame Game (8:00 PM ET Thu, Canton - neutral site)</t>
        </is>
      </c>
      <c r="C26" s="2" t="inlineStr">
        <is>
          <t>Cardinals +1.5</t>
        </is>
      </c>
      <c r="D26" s="2" t="inlineStr">
        <is>
          <t>order_unfilled</t>
        </is>
      </c>
      <c r="E26" s="3" t="n">
        <v>1.88</v>
      </c>
      <c r="F26" s="3" t="n"/>
      <c r="G26" s="4" t="n">
        <v>0</v>
      </c>
      <c r="H26" s="2" t="inlineStr">
        <is>
          <t>no fill</t>
        </is>
      </c>
      <c r="I26" s="5" t="n">
        <v>0</v>
      </c>
      <c r="J26" s="6" t="n"/>
      <c r="K26" s="6" t="n"/>
      <c r="L26" s="2" t="inlineStr">
        <is>
          <t>clean</t>
        </is>
      </c>
      <c r="M26" s="2" t="inlineStr">
        <is>
          <t>worked</t>
        </is>
      </c>
      <c r="N26" s="2" t="inlineStr">
        <is>
          <t>NOT FILLED by one cent of juice: ARI +1.5 reached ~-115 game-day vs the -114 bar - and then LOST (CAR won by exactly 3 on the final play). The near-miss dodged a loser; fill discipline is net positive on the card (two would-have-won fills never reached target, the one would-have-lost fill missed by a cent).</t>
        </is>
      </c>
    </row>
    <row r="27">
      <c r="A27" s="2" t="inlineStr">
        <is>
          <t>2026-08-06</t>
        </is>
      </c>
      <c r="B27" s="2" t="inlineStr">
        <is>
          <t>ARI @ CAR (HOF Game)</t>
        </is>
      </c>
      <c r="C27" s="2" t="inlineStr">
        <is>
          <t>Wong teaser leg suppressed (ARI +1.5 -&gt; +7.5)</t>
        </is>
      </c>
      <c r="D27" s="2" t="inlineStr">
        <is>
          <t>flag</t>
        </is>
      </c>
      <c r="E27" s="3" t="n"/>
      <c r="F27" s="3" t="n"/>
      <c r="G27" s="4" t="n">
        <v>0</v>
      </c>
      <c r="H27" s="2" t="inlineStr">
        <is>
          <t>validated</t>
        </is>
      </c>
      <c r="I27" s="5" t="n">
        <v>0</v>
      </c>
      <c r="J27" s="6" t="n"/>
      <c r="K27" s="6" t="n"/>
      <c r="L27" s="2" t="inlineStr">
        <is>
          <t>clean</t>
        </is>
      </c>
      <c r="M27" s="2" t="inlineStr">
        <is>
          <t>worked</t>
        </is>
      </c>
      <c r="N27" s="2" t="inlineStr">
        <is>
          <t>Suppression validated on process with an ironic outcome: the suppressed leg (ARI +1.5 -&gt; +7.5) would have back-doored a win (lost by 3), but the game produced 63 points against a 34.5 total - preseason margins have NO key-number structure, which is precisely why the leg had no business existing. Note-only; engine gating change still deferred (Walters rule).</t>
        </is>
      </c>
    </row>
    <row r="28">
      <c r="A28" s="2" t="inlineStr">
        <is>
          <t>2026-08-10</t>
        </is>
      </c>
      <c r="B28" s="2" t="inlineStr">
        <is>
          <t>NYM @ ATL (7:15 PM ET Mon)</t>
        </is>
      </c>
      <c r="C28" s="2" t="inlineStr">
        <is>
          <t>Braves ML</t>
        </is>
      </c>
      <c r="D28" s="2" t="inlineStr">
        <is>
          <t>order_filled</t>
        </is>
      </c>
      <c r="E28" s="3" t="n">
        <v>1.684</v>
      </c>
      <c r="F28" s="3" t="n">
        <v>1.684</v>
      </c>
      <c r="G28" s="4" t="n">
        <v>0</v>
      </c>
      <c r="H28" s="2" t="inlineStr">
        <is>
          <t>lost</t>
        </is>
      </c>
      <c r="I28" s="5" t="n">
        <v>0</v>
      </c>
      <c r="J28" s="6" t="n">
        <v>-0.0152</v>
      </c>
      <c r="K28" s="6" t="n">
        <v>-0.0305</v>
      </c>
      <c r="L28" s="2" t="inlineStr">
        <is>
          <t>clean</t>
        </is>
      </c>
      <c r="M28" s="2" t="inlineStr">
        <is>
          <t>flagged</t>
        </is>
      </c>
      <c r="N28" s="2" t="inlineStr">
        <is>
          <t>FILLED AND LOST - first filled headline order. The trigger (1.684/-147) verifiably printed at multiple books (-138 Covers, -140 FanDuel, -143 Caesars) before first pitch; ATL lost 8-5. Graded at the 1.684 floor: raw CLV -1.5%, no-vig -3.1% - NEGATIVE, the second straight drift-fill with negative CLV (Liberty Aug-3 was the first). The market drifted toward the Mets all day and the drift was information; re-priced at the drifted number, our own blend no longer cleared the bar. DRIFT-CANCEL RULE shipped to CLAUDE.md off this graded pair. User stake unconfirmed - tracker computes the loss at your unit stake; if you passed on it, tell me and I regrade to no-bet (Timbers precedent).</t>
        </is>
      </c>
    </row>
    <row r="29">
      <c r="A29" s="2" t="inlineStr">
        <is>
          <t>2026-08-10</t>
        </is>
      </c>
      <c r="B29" s="2" t="inlineStr">
        <is>
          <t>Shnaider vs Swiatek, WTA Toronto QF (7:00 PM ET Mon)</t>
        </is>
      </c>
      <c r="C29" s="2" t="inlineStr">
        <is>
          <t>Swiatek ML</t>
        </is>
      </c>
      <c r="D29" s="2" t="inlineStr">
        <is>
          <t>order_unfilled</t>
        </is>
      </c>
      <c r="E29" s="3" t="n">
        <v>1.403</v>
      </c>
      <c r="F29" s="3" t="n"/>
      <c r="G29" s="4" t="n">
        <v>0</v>
      </c>
      <c r="H29" s="2" t="inlineStr">
        <is>
          <t>no fill</t>
        </is>
      </c>
      <c r="I29" s="5" t="n">
        <v>0</v>
      </c>
      <c r="J29" s="6" t="n"/>
      <c r="K29" s="6" t="n"/>
      <c r="L29" s="2" t="inlineStr">
        <is>
          <t>clean</t>
        </is>
      </c>
      <c r="M29" s="2" t="inlineStr">
        <is>
          <t>worked</t>
        </is>
      </c>
      <c r="N29" s="2" t="inlineStr">
        <is>
          <t>NOT FILLED: no book ever printed 1.403+ (-285/-300 everywhere). Swiatek won 6-2 6-1 - a missed winner, which is the cost side of the same discipline that has dodged three losers. The bar cuts both ways; that is the design.</t>
        </is>
      </c>
    </row>
    <row r="30">
      <c r="A30" s="2" t="inlineStr">
        <is>
          <t>2026-08-10</t>
        </is>
      </c>
      <c r="B30" s="2" t="inlineStr">
        <is>
          <t>COL @ AZ (Chase Field, evening - exact time TBC)</t>
        </is>
      </c>
      <c r="C30" s="2" t="inlineStr">
        <is>
          <t>Diamondbacks ML</t>
        </is>
      </c>
      <c r="D30" s="2" t="inlineStr">
        <is>
          <t>order_unfilled</t>
        </is>
      </c>
      <c r="E30" s="3" t="n">
        <v>1.624</v>
      </c>
      <c r="F30" s="3" t="n"/>
      <c r="G30" s="4" t="n">
        <v>0</v>
      </c>
      <c r="H30" s="2" t="inlineStr">
        <is>
          <t>no fill</t>
        </is>
      </c>
      <c r="I30" s="5" t="n">
        <v>0</v>
      </c>
      <c r="J30" s="6" t="n"/>
      <c r="K30" s="6" t="n"/>
      <c r="L30" s="2" t="inlineStr">
        <is>
          <t>clean</t>
        </is>
      </c>
      <c r="M30" s="2" t="inlineStr">
        <is>
          <t>worked</t>
        </is>
      </c>
      <c r="N30" s="2" t="inlineStr">
        <is>
          <t>NOT FILLED: line moved AWAY from the order all day (-179 -&gt; -190s; the -164 outlier board never reached -160). Game in progress at grading - outcome irrelevant to an unfilled order.</t>
        </is>
      </c>
    </row>
    <row r="31">
      <c r="A31" s="2" t="inlineStr">
        <is>
          <t>2026-08-10</t>
        </is>
      </c>
      <c r="B31" s="2" t="inlineStr">
        <is>
          <t>KC @ LAD (10:10 PM ET Mon - Skubal home debut)</t>
        </is>
      </c>
      <c r="C31" s="2" t="inlineStr">
        <is>
          <t>Moneyline refused (conflict rule)</t>
        </is>
      </c>
      <c r="D31" s="2" t="inlineStr">
        <is>
          <t>refusal</t>
        </is>
      </c>
      <c r="E31" s="3" t="n"/>
      <c r="F31" s="3" t="n"/>
      <c r="G31" s="4" t="n">
        <v>0</v>
      </c>
      <c r="H31" s="2" t="inlineStr">
        <is>
          <t>pending</t>
        </is>
      </c>
      <c r="I31" s="5" t="n">
        <v>0</v>
      </c>
      <c r="J31" s="6" t="n"/>
      <c r="K31" s="6" t="n"/>
      <c r="L31" s="2" t="inlineStr">
        <is>
          <t>conflict</t>
        </is>
      </c>
      <c r="M31" s="2" t="inlineStr">
        <is>
          <t>pending</t>
        </is>
      </c>
      <c r="N31" s="2" t="inlineStr">
        <is>
          <t>Book prices LAD 1.625 (-160); Polymarket pays 1.351 (74c) on the same side - cross-source hold -12.95%, the widest conflict we've recorded. Degraded anchor + negative hold = unpriceable, never an arb (rule now applied a 5th time; 4-for-4 validated so far). The hype game is exactly where quote quality dies. Graded at Monday's close. || Grading pass 1 (Mon night): the ~15-pt book-vs-Polymarket gap persisted in every indexed source through first pitch - zero convergence. Validated-so-far; final grade at close next cycle.</t>
        </is>
      </c>
    </row>
    <row r="32">
      <c r="A32" s="2" t="inlineStr">
        <is>
          <t>2026-08-11</t>
        </is>
      </c>
      <c r="B32" s="2" t="inlineStr">
        <is>
          <t>CLE @ DET (6:40 PM ET Tue, Comerica)</t>
        </is>
      </c>
      <c r="C32" s="2" t="inlineStr">
        <is>
          <t>Tigers ML</t>
        </is>
      </c>
      <c r="D32" s="2" t="inlineStr">
        <is>
          <t>order_open</t>
        </is>
      </c>
      <c r="E32" s="3" t="n">
        <v>2.164</v>
      </c>
      <c r="F32" s="3" t="n"/>
      <c r="G32" s="4" t="n">
        <v>0</v>
      </c>
      <c r="H32" s="2" t="inlineStr">
        <is>
          <t>pending</t>
        </is>
      </c>
      <c r="I32" s="5" t="n">
        <v>0</v>
      </c>
      <c r="J32" s="6" t="n"/>
      <c r="K32" s="6" t="n"/>
      <c r="L32" s="2" t="inlineStr">
        <is>
          <t>clean</t>
        </is>
      </c>
      <c r="M32" s="2" t="inlineStr">
        <is>
          <t>pending</t>
        </is>
      </c>
      <c r="N32" s="2" t="inlineStr">
        <is>
          <t>HEADLINE ORDER, closest to the bar in five days (+0.90% EV at listed 2.13). Fair 2.111: market devig 46.4% home blended with in-house log5 52.7% (DET 56-60 vs CLE 58-59 - near-even teams, home edge does the work). Fires at 2.164+. DRIFT-CANCEL applies: if the market drifts through 2.164, the premise changed - re-price before betting, do not auto-take (Braves lesson, last night). Board is a verify-before-bet page; confirm pitchers + live price. If it fills clean: $54 at quarter-Kelly returns $117.</t>
        </is>
      </c>
    </row>
    <row r="33">
      <c r="A33" s="2" t="inlineStr">
        <is>
          <t>2026-08-11</t>
        </is>
      </c>
      <c r="B33" s="2" t="inlineStr">
        <is>
          <t>TB @ ATH (9:40 PM ET Tue)</t>
        </is>
      </c>
      <c r="C33" s="2" t="inlineStr">
        <is>
          <t>Rays ML</t>
        </is>
      </c>
      <c r="D33" s="2" t="inlineStr">
        <is>
          <t>order_open</t>
        </is>
      </c>
      <c r="E33" s="3" t="n">
        <v>1.72</v>
      </c>
      <c r="F33" s="3" t="n"/>
      <c r="G33" s="4" t="n">
        <v>0</v>
      </c>
      <c r="H33" s="2" t="inlineStr">
        <is>
          <t>pending</t>
        </is>
      </c>
      <c r="I33" s="5" t="n">
        <v>0</v>
      </c>
      <c r="J33" s="6" t="n"/>
      <c r="K33" s="6" t="n"/>
      <c r="L33" s="2" t="inlineStr">
        <is>
          <t>clean</t>
        </is>
      </c>
      <c r="M33" s="2" t="inlineStr">
        <is>
          <t>pending</t>
        </is>
      </c>
      <c r="N33" s="2" t="inlineStr">
        <is>
          <t>Fair 1.678 (in-house has TB 64.7% off 69-46 vs 46-66; ensemble 58.7%). +0.10% at listed 1.68 - needs 4 cents. Peralta (5.37 ERA since trade) is the risk the market sees; ATH record anchor is approx - noted.</t>
        </is>
      </c>
    </row>
    <row r="34">
      <c r="A34" s="2" t="inlineStr">
        <is>
          <t>2026-08-11</t>
        </is>
      </c>
      <c r="B34" s="2" t="inlineStr">
        <is>
          <t>KC @ LAD (10:10 PM ET Tue)</t>
        </is>
      </c>
      <c r="C34" s="2" t="inlineStr">
        <is>
          <t>Moneyline refused (conflict rule, day 2)</t>
        </is>
      </c>
      <c r="D34" s="2" t="inlineStr">
        <is>
          <t>refusal</t>
        </is>
      </c>
      <c r="E34" s="3" t="n"/>
      <c r="F34" s="3" t="n"/>
      <c r="G34" s="4" t="n">
        <v>0</v>
      </c>
      <c r="H34" s="2" t="inlineStr">
        <is>
          <t>pending</t>
        </is>
      </c>
      <c r="I34" s="5" t="n">
        <v>0</v>
      </c>
      <c r="J34" s="6" t="n"/>
      <c r="K34" s="6" t="n"/>
      <c r="L34" s="2" t="inlineStr">
        <is>
          <t>conflict</t>
        </is>
      </c>
      <c r="M34" s="2" t="inlineStr">
        <is>
          <t>pending</t>
        </is>
      </c>
      <c r="N34" s="2" t="inlineStr">
        <is>
          <t>Book LAD -285 vs Polymarket 72c: nearly agreeing today, but cross-source best prices still net -0.99% hold - the rule is binary and fires the same on small conflicts as wide ones (that binariness is the Cubs-3.7pt lesson). 6th application. Monday's refusal grades at its close next cycle alongside this one.</t>
        </is>
      </c>
    </row>
    <row r="36">
      <c r="A36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  <row r="14">
      <c r="A14" s="2" t="inlineStr">
        <is>
          <t>2026-08-01</t>
        </is>
      </c>
      <c r="B14" s="2" t="inlineStr">
        <is>
          <t>mls-2026-08-01-sea-por</t>
        </is>
      </c>
      <c r="C14" s="8" t="n">
        <v>0.4598</v>
      </c>
      <c r="D14" s="8" t="n">
        <v>0.4598</v>
      </c>
      <c r="E14" s="9">
        <f>ABS(C14-D14)*100</f>
        <v/>
      </c>
      <c r="F14" s="2" t="n">
        <v>1</v>
      </c>
      <c r="G14" s="10">
        <f>(C14-F14)^2</f>
        <v/>
      </c>
      <c r="H14" s="10">
        <f>(D14-F14)^2</f>
        <v/>
      </c>
      <c r="I14" s="2" t="inlineStr">
        <is>
          <t>clean</t>
        </is>
      </c>
    </row>
    <row r="15">
      <c r="A15" s="2" t="inlineStr">
        <is>
          <t>2026-08-01</t>
        </is>
      </c>
      <c r="B15" s="2" t="inlineStr">
        <is>
          <t>mlb-2026-08-01-pit-cin</t>
        </is>
      </c>
      <c r="C15" s="8" t="n">
        <v>0.4596</v>
      </c>
      <c r="D15" s="8" t="n">
        <v>0.4736</v>
      </c>
      <c r="E15" s="9">
        <f>ABS(C15-D15)*100</f>
        <v/>
      </c>
      <c r="F15" s="2" t="n">
        <v>0</v>
      </c>
      <c r="G15" s="10">
        <f>(C15-F15)^2</f>
        <v/>
      </c>
      <c r="H15" s="10">
        <f>(D15-F15)^2</f>
        <v/>
      </c>
      <c r="I15" s="2" t="inlineStr">
        <is>
          <t>clean</t>
        </is>
      </c>
    </row>
    <row r="16">
      <c r="A16" s="2" t="inlineStr">
        <is>
          <t>2026-08-01</t>
        </is>
      </c>
      <c r="B16" s="2" t="inlineStr">
        <is>
          <t>mlb-2026-08-01-cws-tb</t>
        </is>
      </c>
      <c r="C16" s="8" t="n">
        <v>0.5645</v>
      </c>
      <c r="D16" s="8" t="n">
        <v>0.6045</v>
      </c>
      <c r="E16" s="9">
        <f>ABS(C16-D16)*100</f>
        <v/>
      </c>
      <c r="F16" s="2" t="n">
        <v>1</v>
      </c>
      <c r="G16" s="10">
        <f>(C16-F16)^2</f>
        <v/>
      </c>
      <c r="H16" s="10">
        <f>(D16-F16)^2</f>
        <v/>
      </c>
      <c r="I16" s="2" t="inlineStr">
        <is>
          <t>clean</t>
        </is>
      </c>
    </row>
    <row r="17">
      <c r="A17" s="2" t="inlineStr">
        <is>
          <t>2026-08-01</t>
        </is>
      </c>
      <c r="B17" s="2" t="inlineStr">
        <is>
          <t>mlb-2026-08-01-mil-laa</t>
        </is>
      </c>
      <c r="C17" s="8" t="n">
        <v>0.4623</v>
      </c>
      <c r="D17" s="8" t="n">
        <v>0.4428</v>
      </c>
      <c r="E17" s="9">
        <f>ABS(C17-D17)*100</f>
        <v/>
      </c>
      <c r="F17" s="2" t="n">
        <v>0</v>
      </c>
      <c r="G17" s="10">
        <f>(C17-F17)^2</f>
        <v/>
      </c>
      <c r="H17" s="10">
        <f>(D17-F17)^2</f>
        <v/>
      </c>
      <c r="I17" s="2" t="inlineStr">
        <is>
          <t>clean</t>
        </is>
      </c>
    </row>
    <row r="18">
      <c r="A18" s="2" t="inlineStr">
        <is>
          <t>2026-08-01</t>
        </is>
      </c>
      <c r="B18" s="2" t="inlineStr">
        <is>
          <t>mlb-2026-08-01-det-ath</t>
        </is>
      </c>
      <c r="C18" s="8" t="n">
        <v>0.4006</v>
      </c>
      <c r="D18" s="8" t="n">
        <v>0.4424</v>
      </c>
      <c r="E18" s="9">
        <f>ABS(C18-D18)*100</f>
        <v/>
      </c>
      <c r="F18" s="2" t="n">
        <v>0</v>
      </c>
      <c r="G18" s="10">
        <f>(C18-F18)^2</f>
        <v/>
      </c>
      <c r="H18" s="10">
        <f>(D18-F18)^2</f>
        <v/>
      </c>
      <c r="I18" s="2" t="inlineStr">
        <is>
          <t>clean</t>
        </is>
      </c>
    </row>
    <row r="19">
      <c r="A19" s="2" t="inlineStr">
        <is>
          <t>2026-08-01</t>
        </is>
      </c>
      <c r="B19" s="2" t="inlineStr">
        <is>
          <t>mlb-2026-08-01-stl-tor</t>
        </is>
      </c>
      <c r="C19" s="8" t="n">
        <v>0.6113</v>
      </c>
      <c r="D19" s="8" t="n">
        <v>0.6116</v>
      </c>
      <c r="E19" s="9">
        <f>ABS(C19-D19)*100</f>
        <v/>
      </c>
      <c r="F19" s="2" t="n">
        <v>1</v>
      </c>
      <c r="G19" s="10">
        <f>(C19-F19)^2</f>
        <v/>
      </c>
      <c r="H19" s="10">
        <f>(D19-F19)^2</f>
        <v/>
      </c>
      <c r="I19" s="2" t="inlineStr">
        <is>
          <t>clean</t>
        </is>
      </c>
    </row>
    <row r="20">
      <c r="A20" s="2" t="inlineStr">
        <is>
          <t>2026-08-01</t>
        </is>
      </c>
      <c r="B20" s="2" t="inlineStr">
        <is>
          <t>mlb-2026-08-01-tex-hou</t>
        </is>
      </c>
      <c r="C20" s="8" t="n">
        <v>0.5454</v>
      </c>
      <c r="D20" s="8" t="n">
        <v>0.4654</v>
      </c>
      <c r="E20" s="9">
        <f>ABS(C20-D20)*100</f>
        <v/>
      </c>
      <c r="F20" s="2" t="n">
        <v>1</v>
      </c>
      <c r="G20" s="10">
        <f>(C20-F20)^2</f>
        <v/>
      </c>
      <c r="H20" s="10">
        <f>(D20-F20)^2</f>
        <v/>
      </c>
      <c r="I20" s="2" t="inlineStr">
        <is>
          <t>clean</t>
        </is>
      </c>
    </row>
    <row r="21">
      <c r="A21" s="2" t="inlineStr">
        <is>
          <t>2026-08-01</t>
        </is>
      </c>
      <c r="B21" s="2" t="inlineStr">
        <is>
          <t>mlb-2026-08-01-mia-nym</t>
        </is>
      </c>
      <c r="C21" s="8" t="n">
        <v>0.5454</v>
      </c>
      <c r="D21" s="8" t="n">
        <v>0.5502</v>
      </c>
      <c r="E21" s="9">
        <f>ABS(C21-D21)*100</f>
        <v/>
      </c>
      <c r="F21" s="2" t="n">
        <v>0</v>
      </c>
      <c r="G21" s="10">
        <f>(C21-F21)^2</f>
        <v/>
      </c>
      <c r="H21" s="10">
        <f>(D21-F21)^2</f>
        <v/>
      </c>
      <c r="I21" s="2" t="inlineStr">
        <is>
          <t>clean</t>
        </is>
      </c>
    </row>
    <row r="22">
      <c r="A22" s="2" t="inlineStr">
        <is>
          <t>2026-08-01</t>
        </is>
      </c>
      <c r="B22" s="2" t="inlineStr">
        <is>
          <t>mlb-2026-08-01-kc-col</t>
        </is>
      </c>
      <c r="C22" s="8" t="n">
        <v>0.5069</v>
      </c>
      <c r="D22" s="8" t="n">
        <v>0.5181</v>
      </c>
      <c r="E22" s="9">
        <f>ABS(C22-D22)*100</f>
        <v/>
      </c>
      <c r="F22" s="2" t="n">
        <v>1</v>
      </c>
      <c r="G22" s="10">
        <f>(C22-F22)^2</f>
        <v/>
      </c>
      <c r="H22" s="10">
        <f>(D22-F22)^2</f>
        <v/>
      </c>
      <c r="I22" s="2" t="inlineStr">
        <is>
          <t>clean</t>
        </is>
      </c>
    </row>
    <row r="23">
      <c r="A23" s="2" t="inlineStr">
        <is>
          <t>2026-08-01</t>
        </is>
      </c>
      <c r="B23" s="2" t="inlineStr">
        <is>
          <t>mlb-2026-08-01-phi-bal</t>
        </is>
      </c>
      <c r="C23" s="8" t="n">
        <v>0.4606</v>
      </c>
      <c r="D23" s="8" t="n">
        <v>0.4309</v>
      </c>
      <c r="E23" s="9">
        <f>ABS(C23-D23)*100</f>
        <v/>
      </c>
      <c r="F23" s="2" t="n">
        <v>0</v>
      </c>
      <c r="G23" s="10">
        <f>(C23-F23)^2</f>
        <v/>
      </c>
      <c r="H23" s="10">
        <f>(D23-F23)^2</f>
        <v/>
      </c>
      <c r="I23" s="2" t="inlineStr">
        <is>
          <t>clean</t>
        </is>
      </c>
    </row>
    <row r="24">
      <c r="A24" s="2" t="inlineStr">
        <is>
          <t>2026-08-01</t>
        </is>
      </c>
      <c r="B24" s="2" t="inlineStr">
        <is>
          <t>wnba-2026-08-01-phx-nyl</t>
        </is>
      </c>
      <c r="C24" s="8" t="n">
        <v>0.5589</v>
      </c>
      <c r="D24" s="8" t="n">
        <v>0.4411</v>
      </c>
      <c r="E24" s="9">
        <f>ABS(C24-D24)*100</f>
        <v/>
      </c>
      <c r="F24" s="2" t="n">
        <v>0</v>
      </c>
      <c r="G24" s="10">
        <f>(C24-F24)^2</f>
        <v/>
      </c>
      <c r="H24" s="10">
        <f>(D24-F24)^2</f>
        <v/>
      </c>
      <c r="I24" s="2" t="inlineStr">
        <is>
          <t>clean</t>
        </is>
      </c>
    </row>
    <row r="25">
      <c r="A25" s="2" t="inlineStr">
        <is>
          <t>2026-08-02</t>
        </is>
      </c>
      <c r="B25" s="2" t="inlineStr">
        <is>
          <t>mlb-2026-08-02-stl-tor</t>
        </is>
      </c>
      <c r="C25" s="8" t="n">
        <v>0.5279</v>
      </c>
      <c r="D25" s="8" t="n">
        <v>0.5294</v>
      </c>
      <c r="E25" s="9">
        <f>ABS(C25-D25)*100</f>
        <v/>
      </c>
      <c r="F25" s="2" t="n">
        <v>0</v>
      </c>
      <c r="G25" s="10">
        <f>(C25-F25)^2</f>
        <v/>
      </c>
      <c r="H25" s="10">
        <f>(D25-F25)^2</f>
        <v/>
      </c>
      <c r="I25" s="2" t="inlineStr">
        <is>
          <t>clean</t>
        </is>
      </c>
    </row>
    <row r="26">
      <c r="A26" s="2" t="inlineStr">
        <is>
          <t>2026-08-02</t>
        </is>
      </c>
      <c r="B26" s="2" t="inlineStr">
        <is>
          <t>mlb-2026-08-02-kc-col</t>
        </is>
      </c>
      <c r="C26" s="8" t="n">
        <v>0.5423</v>
      </c>
      <c r="D26" s="8" t="n">
        <v>0.5454</v>
      </c>
      <c r="E26" s="9">
        <f>ABS(C26-D26)*100</f>
        <v/>
      </c>
      <c r="F26" s="2" t="n">
        <v>1</v>
      </c>
      <c r="G26" s="10">
        <f>(C26-F26)^2</f>
        <v/>
      </c>
      <c r="H26" s="10">
        <f>(D26-F26)^2</f>
        <v/>
      </c>
      <c r="I26" s="2" t="inlineStr">
        <is>
          <t>clean</t>
        </is>
      </c>
    </row>
    <row r="27">
      <c r="A27" s="2" t="inlineStr">
        <is>
          <t>2026-08-02</t>
        </is>
      </c>
      <c r="B27" s="2" t="inlineStr">
        <is>
          <t>mlb-2026-08-02-mil-laa</t>
        </is>
      </c>
      <c r="C27" s="8" t="n">
        <v>0.3168</v>
      </c>
      <c r="D27" s="8" t="n">
        <v>0.3424</v>
      </c>
      <c r="E27" s="9">
        <f>ABS(C27-D27)*100</f>
        <v/>
      </c>
      <c r="F27" s="2" t="n">
        <v>1</v>
      </c>
      <c r="G27" s="10">
        <f>(C27-F27)^2</f>
        <v/>
      </c>
      <c r="H27" s="10">
        <f>(D27-F27)^2</f>
        <v/>
      </c>
      <c r="I27" s="2" t="inlineStr">
        <is>
          <t>clean</t>
        </is>
      </c>
    </row>
    <row r="28">
      <c r="A28" s="2" t="inlineStr">
        <is>
          <t>2026-08-02</t>
        </is>
      </c>
      <c r="B28" s="2" t="inlineStr">
        <is>
          <t>mlb-2026-08-02-nyy-chc</t>
        </is>
      </c>
      <c r="C28" s="8" t="n">
        <v>0.478</v>
      </c>
      <c r="D28" s="8" t="n">
        <v>0.4546</v>
      </c>
      <c r="E28" s="9">
        <f>ABS(C28-D28)*100</f>
        <v/>
      </c>
      <c r="F28" s="2" t="n">
        <v>0</v>
      </c>
      <c r="G28" s="10">
        <f>(C28-F28)^2</f>
        <v/>
      </c>
      <c r="H28" s="10">
        <f>(D28-F28)^2</f>
        <v/>
      </c>
      <c r="I28" s="2" t="inlineStr">
        <is>
          <t>clean</t>
        </is>
      </c>
    </row>
    <row r="29">
      <c r="A29" s="2" t="inlineStr">
        <is>
          <t>2026-08-02</t>
        </is>
      </c>
      <c r="B29" s="2" t="inlineStr">
        <is>
          <t>mlb-2026-08-02-wsh-atl</t>
        </is>
      </c>
      <c r="C29" s="8" t="n">
        <v>0.5492</v>
      </c>
      <c r="D29" s="8" t="n">
        <v>0.5367</v>
      </c>
      <c r="E29" s="9">
        <f>ABS(C29-D29)*100</f>
        <v/>
      </c>
      <c r="F29" s="2" t="n">
        <v>1</v>
      </c>
      <c r="G29" s="10">
        <f>(C29-F29)^2</f>
        <v/>
      </c>
      <c r="H29" s="10">
        <f>(D29-F29)^2</f>
        <v/>
      </c>
      <c r="I29" s="2" t="inlineStr">
        <is>
          <t>clean</t>
        </is>
      </c>
    </row>
    <row r="30">
      <c r="A30" s="2" t="inlineStr">
        <is>
          <t>2026-08-02</t>
        </is>
      </c>
      <c r="B30" s="2" t="inlineStr">
        <is>
          <t>mlb-2026-08-02-az-cle</t>
        </is>
      </c>
      <c r="C30" s="8" t="n">
        <v>0.5821</v>
      </c>
      <c r="D30" s="8" t="n">
        <v>0.5821</v>
      </c>
      <c r="E30" s="9">
        <f>ABS(C30-D30)*100</f>
        <v/>
      </c>
      <c r="F30" s="2" t="n">
        <v>1</v>
      </c>
      <c r="G30" s="10">
        <f>(C30-F30)^2</f>
        <v/>
      </c>
      <c r="H30" s="10">
        <f>(D30-F30)^2</f>
        <v/>
      </c>
      <c r="I30" s="2" t="inlineStr">
        <is>
          <t>clean</t>
        </is>
      </c>
    </row>
    <row r="31">
      <c r="A31" s="2" t="inlineStr">
        <is>
          <t>2026-08-02</t>
        </is>
      </c>
      <c r="B31" s="2" t="inlineStr">
        <is>
          <t>wnba-2026-08-02-la-por</t>
        </is>
      </c>
      <c r="C31" s="8" t="n">
        <v>0.5177</v>
      </c>
      <c r="D31" s="8" t="n">
        <v>0.5233</v>
      </c>
      <c r="E31" s="9">
        <f>ABS(C31-D31)*100</f>
        <v/>
      </c>
      <c r="F31" s="2" t="n">
        <v>0</v>
      </c>
      <c r="G31" s="10">
        <f>(C31-F31)^2</f>
        <v/>
      </c>
      <c r="H31" s="10">
        <f>(D31-F31)^2</f>
        <v/>
      </c>
      <c r="I31" s="2" t="inlineStr">
        <is>
          <t>clean</t>
        </is>
      </c>
    </row>
    <row r="32">
      <c r="A32" s="2" t="inlineStr">
        <is>
          <t>2026-08-02</t>
        </is>
      </c>
      <c r="B32" s="2" t="inlineStr">
        <is>
          <t>wta-2026-08-02-rakhimova-williams</t>
        </is>
      </c>
      <c r="C32" s="8" t="n">
        <v>0.2195</v>
      </c>
      <c r="D32" s="8" t="n">
        <v>0.2176</v>
      </c>
      <c r="E32" s="9">
        <f>ABS(C32-D32)*100</f>
        <v/>
      </c>
      <c r="F32" s="2" t="n">
        <v>0</v>
      </c>
      <c r="G32" s="10">
        <f>(C32-F32)^2</f>
        <v/>
      </c>
      <c r="H32" s="10">
        <f>(D32-F32)^2</f>
        <v/>
      </c>
      <c r="I32" s="2" t="inlineStr">
        <is>
          <t>clean</t>
        </is>
      </c>
    </row>
    <row r="33">
      <c r="A33" s="2" t="inlineStr">
        <is>
          <t>2026-08-02</t>
        </is>
      </c>
      <c r="B33" s="2" t="inlineStr">
        <is>
          <t>mlb-2026-08-02-det-ath</t>
        </is>
      </c>
      <c r="C33" s="8" t="n">
        <v>0.4313</v>
      </c>
      <c r="D33" s="8" t="n">
        <v>0.4547</v>
      </c>
      <c r="E33" s="9">
        <f>ABS(C33-D33)*100</f>
        <v/>
      </c>
      <c r="F33" s="2" t="n">
        <v>0</v>
      </c>
      <c r="G33" s="10">
        <f>(C33-F33)^2</f>
        <v/>
      </c>
      <c r="H33" s="10">
        <f>(D33-F33)^2</f>
        <v/>
      </c>
      <c r="I33" s="2" t="inlineStr">
        <is>
          <t>clean</t>
        </is>
      </c>
    </row>
    <row r="34">
      <c r="A34" s="2" t="inlineStr">
        <is>
          <t>2026-08-02</t>
        </is>
      </c>
      <c r="B34" s="2" t="inlineStr">
        <is>
          <t>mlb-2026-08-02-sfg-sdp</t>
        </is>
      </c>
      <c r="C34" s="8" t="n">
        <v>0.5951</v>
      </c>
      <c r="D34" s="8" t="n">
        <v>0.5815</v>
      </c>
      <c r="E34" s="9">
        <f>ABS(C34-D34)*100</f>
        <v/>
      </c>
      <c r="F34" s="2" t="n">
        <v>1</v>
      </c>
      <c r="G34" s="10">
        <f>(C34-F34)^2</f>
        <v/>
      </c>
      <c r="H34" s="10">
        <f>(D34-F34)^2</f>
        <v/>
      </c>
      <c r="I34" s="2" t="inlineStr">
        <is>
          <t>clean</t>
        </is>
      </c>
    </row>
    <row r="35">
      <c r="A35" s="2" t="inlineStr">
        <is>
          <t>2026-08-02</t>
        </is>
      </c>
      <c r="B35" s="2" t="inlineStr">
        <is>
          <t>mlb-2026-08-02-min-sea</t>
        </is>
      </c>
      <c r="C35" s="8" t="n">
        <v>0.5620000000000001</v>
      </c>
      <c r="D35" s="8" t="n">
        <v>0.5629999999999999</v>
      </c>
      <c r="E35" s="9">
        <f>ABS(C35-D35)*100</f>
        <v/>
      </c>
      <c r="F35" s="2" t="n">
        <v>1</v>
      </c>
      <c r="G35" s="10">
        <f>(C35-F35)^2</f>
        <v/>
      </c>
      <c r="H35" s="10">
        <f>(D35-F35)^2</f>
        <v/>
      </c>
      <c r="I35" s="2" t="inlineStr">
        <is>
          <t>clean</t>
        </is>
      </c>
    </row>
    <row r="36">
      <c r="A36" s="2" t="inlineStr">
        <is>
          <t>2026-08-02</t>
        </is>
      </c>
      <c r="B36" s="2" t="inlineStr">
        <is>
          <t>mlb-2026-08-02-bos-lad</t>
        </is>
      </c>
      <c r="C36" s="8" t="n">
        <v>0.6151</v>
      </c>
      <c r="D36" s="8" t="n">
        <v>0.6287</v>
      </c>
      <c r="E36" s="9">
        <f>ABS(C36-D36)*100</f>
        <v/>
      </c>
      <c r="F36" s="2" t="n">
        <v>0</v>
      </c>
      <c r="G36" s="10">
        <f>(C36-F36)^2</f>
        <v/>
      </c>
      <c r="H36" s="10">
        <f>(D36-F36)^2</f>
        <v/>
      </c>
      <c r="I36" s="2" t="inlineStr">
        <is>
          <t>clean</t>
        </is>
      </c>
    </row>
    <row r="37">
      <c r="A37" s="2" t="inlineStr">
        <is>
          <t>2026-08-02</t>
        </is>
      </c>
      <c r="B37" s="2" t="inlineStr">
        <is>
          <t>atp-2026-08-02-berrettini-navone</t>
        </is>
      </c>
      <c r="C37" s="8" t="n">
        <v>0.3522</v>
      </c>
      <c r="D37" s="8" t="n">
        <v>0.358</v>
      </c>
      <c r="E37" s="9">
        <f>ABS(C37-D37)*100</f>
        <v/>
      </c>
      <c r="F37" s="2" t="n">
        <v>1</v>
      </c>
      <c r="G37" s="10">
        <f>(C37-F37)^2</f>
        <v/>
      </c>
      <c r="H37" s="10">
        <f>(D37-F37)^2</f>
        <v/>
      </c>
      <c r="I37" s="2" t="inlineStr">
        <is>
          <t>clean</t>
        </is>
      </c>
    </row>
    <row r="38">
      <c r="A38" s="2" t="inlineStr">
        <is>
          <t>2026-08-02</t>
        </is>
      </c>
      <c r="B38" s="2" t="inlineStr">
        <is>
          <t>wta-2026-08-02-bartunkova-andreescu</t>
        </is>
      </c>
      <c r="C38" s="8" t="n">
        <v>0.416</v>
      </c>
      <c r="D38" s="8" t="n">
        <v>0.4042</v>
      </c>
      <c r="E38" s="9">
        <f>ABS(C38-D38)*100</f>
        <v/>
      </c>
      <c r="F38" s="2" t="n">
        <v>0</v>
      </c>
      <c r="G38" s="10">
        <f>(C38-F38)^2</f>
        <v/>
      </c>
      <c r="H38" s="10">
        <f>(D38-F38)^2</f>
        <v/>
      </c>
      <c r="I38" s="2" t="inlineStr">
        <is>
          <t>clean</t>
        </is>
      </c>
    </row>
    <row r="39">
      <c r="A39" s="2" t="inlineStr">
        <is>
          <t>2026-08-02</t>
        </is>
      </c>
      <c r="B39" s="2" t="inlineStr">
        <is>
          <t>ligamx-2026-08-02-san-ame</t>
        </is>
      </c>
      <c r="C39" s="8" t="n">
        <v>0.6858</v>
      </c>
      <c r="D39" s="8" t="n">
        <v>0.6949</v>
      </c>
      <c r="E39" s="9">
        <f>ABS(C39-D39)*100</f>
        <v/>
      </c>
      <c r="F39" s="2" t="n">
        <v>1</v>
      </c>
      <c r="G39" s="10">
        <f>(C39-F39)^2</f>
        <v/>
      </c>
      <c r="H39" s="10">
        <f>(D39-F39)^2</f>
        <v/>
      </c>
      <c r="I39" s="2" t="inlineStr">
        <is>
          <t>clean</t>
        </is>
      </c>
    </row>
    <row r="40">
      <c r="A40" s="2" t="inlineStr">
        <is>
          <t>2026-08-02</t>
        </is>
      </c>
      <c r="B40" s="2" t="inlineStr">
        <is>
          <t>cdb-2026-08-02-cru-cha</t>
        </is>
      </c>
      <c r="C40" s="8" t="n">
        <v>0.2043</v>
      </c>
      <c r="D40" s="8" t="n">
        <v>0.2275</v>
      </c>
      <c r="E40" s="9">
        <f>ABS(C40-D40)*100</f>
        <v/>
      </c>
      <c r="F40" s="2" t="n">
        <v>0</v>
      </c>
      <c r="G40" s="10">
        <f>(C40-F40)^2</f>
        <v/>
      </c>
      <c r="H40" s="10">
        <f>(D40-F40)^2</f>
        <v/>
      </c>
      <c r="I40" s="2" t="inlineStr">
        <is>
          <t>clean</t>
        </is>
      </c>
    </row>
    <row r="41">
      <c r="A41" s="2" t="inlineStr">
        <is>
          <t>2026-08-02</t>
        </is>
      </c>
      <c r="B41" s="2" t="inlineStr">
        <is>
          <t>cdb-2026-08-02-cor-int</t>
        </is>
      </c>
      <c r="C41" s="8" t="n">
        <v>0.4424</v>
      </c>
      <c r="D41" s="8" t="n">
        <v>0.4312</v>
      </c>
      <c r="E41" s="9">
        <f>ABS(C41-D41)*100</f>
        <v/>
      </c>
      <c r="F41" s="2" t="n">
        <v>1</v>
      </c>
      <c r="G41" s="10">
        <f>(C41-F41)^2</f>
        <v/>
      </c>
      <c r="H41" s="10">
        <f>(D41-F41)^2</f>
        <v/>
      </c>
      <c r="I41" s="2" t="inlineStr">
        <is>
          <t>clean</t>
        </is>
      </c>
    </row>
    <row r="42">
      <c r="A42" s="2" t="inlineStr">
        <is>
          <t>2026-08-03</t>
        </is>
      </c>
      <c r="B42" s="2" t="inlineStr">
        <is>
          <t>mlb-2026-08-03-stl-nyy</t>
        </is>
      </c>
      <c r="C42" s="8" t="n">
        <v>0.641</v>
      </c>
      <c r="D42" s="8" t="n">
        <v>0.6561</v>
      </c>
      <c r="E42" s="9">
        <f>ABS(C42-D42)*100</f>
        <v/>
      </c>
      <c r="F42" s="2" t="n">
        <v>0</v>
      </c>
      <c r="G42" s="10">
        <f>(C42-F42)^2</f>
        <v/>
      </c>
      <c r="H42" s="10">
        <f>(D42-F42)^2</f>
        <v/>
      </c>
      <c r="I42" s="2" t="inlineStr">
        <is>
          <t>clean</t>
        </is>
      </c>
    </row>
    <row r="43">
      <c r="A43" s="2" t="inlineStr">
        <is>
          <t>2026-08-03</t>
        </is>
      </c>
      <c r="B43" s="2" t="inlineStr">
        <is>
          <t>mlb-2026-08-03-wsh-phi</t>
        </is>
      </c>
      <c r="C43" s="8" t="n">
        <v>0.5744</v>
      </c>
      <c r="D43" s="8" t="n">
        <v>0.5899</v>
      </c>
      <c r="E43" s="9">
        <f>ABS(C43-D43)*100</f>
        <v/>
      </c>
      <c r="F43" s="2" t="n">
        <v>1</v>
      </c>
      <c r="G43" s="10">
        <f>(C43-F43)^2</f>
        <v/>
      </c>
      <c r="H43" s="10">
        <f>(D43-F43)^2</f>
        <v/>
      </c>
      <c r="I43" s="2" t="inlineStr">
        <is>
          <t>clean</t>
        </is>
      </c>
    </row>
    <row r="44">
      <c r="A44" s="2" t="inlineStr">
        <is>
          <t>2026-08-03</t>
        </is>
      </c>
      <c r="B44" s="2" t="inlineStr">
        <is>
          <t>mlb-2026-08-03-lad-chc</t>
        </is>
      </c>
      <c r="C44" s="8" t="n">
        <v>0.4597</v>
      </c>
      <c r="D44" s="8" t="n">
        <v>0.4631</v>
      </c>
      <c r="E44" s="9">
        <f>ABS(C44-D44)*100</f>
        <v/>
      </c>
      <c r="F44" s="2" t="n">
        <v>1</v>
      </c>
      <c r="G44" s="10">
        <f>(C44-F44)^2</f>
        <v/>
      </c>
      <c r="H44" s="10">
        <f>(D44-F44)^2</f>
        <v/>
      </c>
      <c r="I44" s="2" t="inlineStr">
        <is>
          <t>clean</t>
        </is>
      </c>
    </row>
    <row r="45">
      <c r="A45" s="2" t="inlineStr">
        <is>
          <t>2026-08-03</t>
        </is>
      </c>
      <c r="B45" s="2" t="inlineStr">
        <is>
          <t>mlb-2026-08-03-sfg-tex</t>
        </is>
      </c>
      <c r="C45" s="8" t="n">
        <v>0.5049</v>
      </c>
      <c r="D45" s="8" t="n">
        <v>0.5091</v>
      </c>
      <c r="E45" s="9">
        <f>ABS(C45-D45)*100</f>
        <v/>
      </c>
      <c r="F45" s="2" t="n">
        <v>0</v>
      </c>
      <c r="G45" s="10">
        <f>(C45-F45)^2</f>
        <v/>
      </c>
      <c r="H45" s="10">
        <f>(D45-F45)^2</f>
        <v/>
      </c>
      <c r="I45" s="2" t="inlineStr">
        <is>
          <t>clean</t>
        </is>
      </c>
    </row>
    <row r="46">
      <c r="A46" s="2" t="inlineStr">
        <is>
          <t>2026-08-03</t>
        </is>
      </c>
      <c r="B46" s="2" t="inlineStr">
        <is>
          <t>mlb-2026-08-03-tb-col</t>
        </is>
      </c>
      <c r="C46" s="8" t="n">
        <v>0.3991</v>
      </c>
      <c r="D46" s="8" t="n">
        <v>0.3963</v>
      </c>
      <c r="E46" s="9">
        <f>ABS(C46-D46)*100</f>
        <v/>
      </c>
      <c r="F46" s="2" t="n">
        <v>0</v>
      </c>
      <c r="G46" s="10">
        <f>(C46-F46)^2</f>
        <v/>
      </c>
      <c r="H46" s="10">
        <f>(D46-F46)^2</f>
        <v/>
      </c>
      <c r="I46" s="2" t="inlineStr">
        <is>
          <t>clean</t>
        </is>
      </c>
    </row>
    <row r="47">
      <c r="A47" s="2" t="inlineStr">
        <is>
          <t>2026-08-03</t>
        </is>
      </c>
      <c r="B47" s="2" t="inlineStr">
        <is>
          <t>wnba-2026-08-03-sea-nyl</t>
        </is>
      </c>
      <c r="C47" s="8" t="n">
        <v>0.8017</v>
      </c>
      <c r="D47" s="8" t="n">
        <v>0.7405</v>
      </c>
      <c r="E47" s="9">
        <f>ABS(C47-D47)*100</f>
        <v/>
      </c>
      <c r="F47" s="2" t="n">
        <v>1</v>
      </c>
      <c r="G47" s="10">
        <f>(C47-F47)^2</f>
        <v/>
      </c>
      <c r="H47" s="10">
        <f>(D47-F47)^2</f>
        <v/>
      </c>
      <c r="I47" s="2" t="inlineStr">
        <is>
          <t>clean</t>
        </is>
      </c>
    </row>
    <row r="48">
      <c r="A48" s="2" t="inlineStr">
        <is>
          <t>2026-08-03</t>
        </is>
      </c>
      <c r="B48" s="2" t="inlineStr">
        <is>
          <t>arg-2026-08-03-ind-vel</t>
        </is>
      </c>
      <c r="C48" s="8" t="n">
        <v>0.3919</v>
      </c>
      <c r="D48" s="8" t="n">
        <v>0.3751</v>
      </c>
      <c r="E48" s="9">
        <f>ABS(C48-D48)*100</f>
        <v/>
      </c>
      <c r="F48" s="2" t="n">
        <v>1</v>
      </c>
      <c r="G48" s="10">
        <f>(C48-F48)^2</f>
        <v/>
      </c>
      <c r="H48" s="10">
        <f>(D48-F48)^2</f>
        <v/>
      </c>
      <c r="I48" s="2" t="inlineStr">
        <is>
          <t>clean</t>
        </is>
      </c>
    </row>
    <row r="49">
      <c r="A49" s="2" t="inlineStr">
        <is>
          <t>2026-08-03</t>
        </is>
      </c>
      <c r="B49" s="2" t="inlineStr">
        <is>
          <t>arg-2026-08-03-tal-pla</t>
        </is>
      </c>
      <c r="C49" s="8" t="n">
        <v>0.3776</v>
      </c>
      <c r="D49" s="8" t="n">
        <v>0.3776</v>
      </c>
      <c r="E49" s="9">
        <f>ABS(C49-D49)*100</f>
        <v/>
      </c>
      <c r="F49" s="2" t="n">
        <v>0</v>
      </c>
      <c r="G49" s="10">
        <f>(C49-F49)^2</f>
        <v/>
      </c>
      <c r="H49" s="10">
        <f>(D49-F49)^2</f>
        <v/>
      </c>
      <c r="I49" s="2" t="inlineStr">
        <is>
          <t>clean</t>
        </is>
      </c>
    </row>
    <row r="50">
      <c r="A50" s="2" t="inlineStr">
        <is>
          <t>2026-08-06</t>
        </is>
      </c>
      <c r="B50" s="2" t="inlineStr">
        <is>
          <t>mlb-2026-08-06-ath-cin</t>
        </is>
      </c>
      <c r="C50" s="8" t="n">
        <v>0.6104000000000001</v>
      </c>
      <c r="D50" s="8" t="n">
        <v>0.6038</v>
      </c>
      <c r="E50" s="9">
        <f>ABS(C50-D50)*100</f>
        <v/>
      </c>
      <c r="F50" s="2" t="n">
        <v>1</v>
      </c>
      <c r="G50" s="10">
        <f>(C50-F50)^2</f>
        <v/>
      </c>
      <c r="H50" s="10">
        <f>(D50-F50)^2</f>
        <v/>
      </c>
      <c r="I50" s="2" t="inlineStr">
        <is>
          <t>clean</t>
        </is>
      </c>
    </row>
    <row r="51">
      <c r="A51" s="2" t="inlineStr">
        <is>
          <t>2026-08-06</t>
        </is>
      </c>
      <c r="B51" s="2" t="inlineStr">
        <is>
          <t>nfl-2026-08-06-ari-car</t>
        </is>
      </c>
      <c r="C51" s="8" t="n">
        <v>0.5112</v>
      </c>
      <c r="D51" s="8" t="n">
        <v>0.5302</v>
      </c>
      <c r="E51" s="9">
        <f>ABS(C51-D51)*100</f>
        <v/>
      </c>
      <c r="F51" s="2" t="n">
        <v>1</v>
      </c>
      <c r="G51" s="10">
        <f>(C51-F51)^2</f>
        <v/>
      </c>
      <c r="H51" s="10">
        <f>(D51-F51)^2</f>
        <v/>
      </c>
      <c r="I51" s="2" t="inlineStr">
        <is>
          <t>clean</t>
        </is>
      </c>
    </row>
    <row r="52">
      <c r="A52" s="2" t="inlineStr">
        <is>
          <t>2026-08-06</t>
        </is>
      </c>
      <c r="B52" s="2" t="inlineStr">
        <is>
          <t>uecl-2026-08-06-din-bra</t>
        </is>
      </c>
      <c r="C52" s="8" t="n">
        <v>0.898</v>
      </c>
      <c r="D52" s="8" t="n">
        <v>0.898</v>
      </c>
      <c r="E52" s="9">
        <f>ABS(C52-D52)*100</f>
        <v/>
      </c>
      <c r="F52" s="2" t="n">
        <v>1</v>
      </c>
      <c r="G52" s="10">
        <f>(C52-F52)^2</f>
        <v/>
      </c>
      <c r="H52" s="10">
        <f>(D52-F52)^2</f>
        <v/>
      </c>
      <c r="I52" s="2" t="inlineStr">
        <is>
          <t>clean</t>
        </is>
      </c>
    </row>
    <row r="53">
      <c r="A53" s="2" t="inlineStr">
        <is>
          <t>2026-08-10</t>
        </is>
      </c>
      <c r="B53" s="2" t="inlineStr">
        <is>
          <t>mlb-2026-08-10-nym-atl</t>
        </is>
      </c>
      <c r="C53" s="8" t="n">
        <v>0.6088</v>
      </c>
      <c r="D53" s="8" t="n">
        <v>0.5757</v>
      </c>
      <c r="E53" s="9">
        <f>ABS(C53-D53)*100</f>
        <v/>
      </c>
      <c r="F53" s="2" t="n">
        <v>0</v>
      </c>
      <c r="G53" s="10">
        <f>(C53-F53)^2</f>
        <v/>
      </c>
      <c r="H53" s="10">
        <f>(D53-F53)^2</f>
        <v/>
      </c>
      <c r="I53" s="2" t="inlineStr">
        <is>
          <t>clean</t>
        </is>
      </c>
    </row>
    <row r="54">
      <c r="A54" s="2" t="inlineStr">
        <is>
          <t>2026-08-10</t>
        </is>
      </c>
      <c r="B54" s="2" t="inlineStr">
        <is>
          <t>mlb-2026-08-10-bos-tor</t>
        </is>
      </c>
      <c r="C54" s="8" t="n">
        <v>0.4078</v>
      </c>
      <c r="D54" s="8" t="n">
        <v>0.3991</v>
      </c>
      <c r="E54" s="9">
        <f>ABS(C54-D54)*100</f>
        <v/>
      </c>
      <c r="F54" s="2" t="n">
        <v>1</v>
      </c>
      <c r="G54" s="10">
        <f>(C54-F54)^2</f>
        <v/>
      </c>
      <c r="H54" s="10">
        <f>(D54-F54)^2</f>
        <v/>
      </c>
      <c r="I54" s="2" t="inlineStr">
        <is>
          <t>clean</t>
        </is>
      </c>
    </row>
    <row r="55">
      <c r="A55" s="2" t="inlineStr">
        <is>
          <t>2026-08-10</t>
        </is>
      </c>
      <c r="B55" s="2" t="inlineStr">
        <is>
          <t>wnba-2026-08-10-tor-atl</t>
        </is>
      </c>
      <c r="C55" s="8" t="n">
        <v>0.8693</v>
      </c>
      <c r="D55" s="8" t="n">
        <v>0.8693</v>
      </c>
      <c r="E55" s="9">
        <f>ABS(C55-D55)*100</f>
        <v/>
      </c>
      <c r="F55" s="2" t="n">
        <v>1</v>
      </c>
      <c r="G55" s="10">
        <f>(C55-F55)^2</f>
        <v/>
      </c>
      <c r="H55" s="10">
        <f>(D55-F55)^2</f>
        <v/>
      </c>
      <c r="I55" s="2" t="inlineStr">
        <is>
          <t>clean</t>
        </is>
      </c>
    </row>
    <row r="56">
      <c r="A56" s="2" t="inlineStr">
        <is>
          <t>2026-08-10</t>
        </is>
      </c>
      <c r="B56" s="2" t="inlineStr">
        <is>
          <t>wta-2026-08-10-shn-swi</t>
        </is>
      </c>
      <c r="C56" s="8" t="n">
        <v>0.7305</v>
      </c>
      <c r="D56" s="8" t="n">
        <v>0.7289</v>
      </c>
      <c r="E56" s="9">
        <f>ABS(C56-D56)*100</f>
        <v/>
      </c>
      <c r="F56" s="2" t="n">
        <v>1</v>
      </c>
      <c r="G56" s="10">
        <f>(C56-F56)^2</f>
        <v/>
      </c>
      <c r="H56" s="10">
        <f>(D56-F56)^2</f>
        <v/>
      </c>
      <c r="I56" s="2" t="inlineStr">
        <is>
          <t>clean</t>
        </is>
      </c>
    </row>
    <row r="57">
      <c r="A57" s="2" t="inlineStr">
        <is>
          <t>2026-08-10</t>
        </is>
      </c>
      <c r="B57" s="2" t="inlineStr">
        <is>
          <t>arg-2026-08-10-cc-uni</t>
        </is>
      </c>
      <c r="C57" s="8" t="n">
        <v>0.3265</v>
      </c>
      <c r="D57" s="8" t="n">
        <v>0.3265</v>
      </c>
      <c r="E57" s="9">
        <f>ABS(C57-D57)*100</f>
        <v/>
      </c>
      <c r="F57" s="2" t="n">
        <v>0</v>
      </c>
      <c r="G57" s="10">
        <f>(C57-F57)^2</f>
        <v/>
      </c>
      <c r="H57" s="10">
        <f>(D57-F57)^2</f>
        <v/>
      </c>
      <c r="I57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[WORKED] PIT @ CIN: 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35">
      <c r="A35" s="21" t="inlineStr">
        <is>
          <t>[WORKED] NYY @ CHC: 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36">
      <c r="A36" s="21" t="inlineStr">
        <is>
          <t>[WORKED] WSH @ ATL: Braves 8-3. Polymarket-only board stayed unpriced per the 0.45-sharpness demotion; no book close collected for this game.</t>
        </is>
      </c>
    </row>
    <row r="37">
      <c r="A37" s="21" t="inlineStr">
        <is>
          <t>[WORKED] PHI @ BAL: 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38">
      <c r="A38" s="21" t="inlineStr">
        <is>
          <t>[WORKED] SEA @ POR (MLS): 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39">
      <c r="A39" s="21" t="inlineStr">
        <is>
          <t>[WORKED] PIT @ CIN: 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40">
      <c r="A40" s="21" t="inlineStr">
        <is>
          <t>[WORKED] STL @ NYY (7:05 PM ET Mon): 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41">
      <c r="A41" s="21" t="inlineStr">
        <is>
          <t>[WORKED] SFG @ TEX (8:05 PM ET Mon): NOT FILLED - TEX never reached plus-money (observed -105 to -125 across books; +103 trigger unreached), then lost 1-5 with five errors behind Webb's 6 shutout IP. Second unfilled loser dodged on the day.</t>
        </is>
      </c>
    </row>
    <row r="42">
      <c r="A42" s="21" t="inlineStr">
        <is>
          <t>[WORKED] SDP @ AZ (9:40 PM ET Mon): 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43">
      <c r="A43" s="21" t="inlineStr">
        <is>
          <t>[WORKED] ATH @ CIN (start time unverified; typical 12:35 PM ET getaway): NOT FILLED: CIN drifted our way (-171 open -&gt; -158 at first pitch) but never reached the -147 (1.679) bar; best documented 1.633. CIN won 6-5, and a 1.679 fill would have carried +2.8% raw CLV vs the close - right side, right price demand, market never paid it. Reverse line movement toward the road dog noted pregame; the bar held anyway.</t>
        </is>
      </c>
    </row>
    <row r="44">
      <c r="A44" s="21" t="inlineStr">
        <is>
          <t>[WORKED] Dinamo Minsk @ Braga (UECL Q3 leg 1; kickoff ~3:00-3:45 PM ET assumed): NOT FILLED: Braga sat 1.10-1.11 everywhere pre-match; the 1.141 re-verified quote never existed. Braga won 1-0. The demotion logic validated exactly: on extreme favorites the only 'fills' available are cross-book noise, and even that noise stayed under 4 cents.</t>
        </is>
      </c>
    </row>
    <row r="45">
      <c r="A45" s="21" t="inlineStr">
        <is>
          <t>[WORKED] ARI @ CAR, Hall of Fame Game (8:00 PM ET Thu, Canton - neutral site): NOT FILLED by one cent of juice: ARI +1.5 reached ~-115 game-day vs the -114 bar - and then LOST (CAR won by exactly 3 on the final play). The near-miss dodged a loser; fill discipline is net positive on the card (two would-have-won fills never reached target, the one would-have-lost fill missed by a cent).</t>
        </is>
      </c>
    </row>
    <row r="46">
      <c r="A46" s="21" t="inlineStr">
        <is>
          <t>[WORKED] ARI @ CAR (HOF Game): Suppression validated on process with an ironic outcome: the suppressed leg (ARI +1.5 -&gt; +7.5) would have back-doored a win (lost by 3), but the game produced 63 points against a 34.5 total - preseason margins have NO key-number structure, which is precisely why the leg had no business existing. Note-only; engine gating change still deferred (Walters rule).</t>
        </is>
      </c>
    </row>
    <row r="47">
      <c r="A47" s="21" t="inlineStr">
        <is>
          <t>[WORKED] Shnaider vs Swiatek, WTA Toronto QF (7:00 PM ET Mon): NOT FILLED: no book ever printed 1.403+ (-285/-300 everywhere). Swiatek won 6-2 6-1 - a missed winner, which is the cost side of the same discipline that has dodged three losers. The bar cuts both ways; that is the design.</t>
        </is>
      </c>
    </row>
    <row r="48">
      <c r="A48" s="21" t="inlineStr">
        <is>
          <t>[WORKED] COL @ AZ (Chase Field, evening - exact time TBC): NOT FILLED: line moved AWAY from the order all day (-179 -&gt; -190s; the -164 outlier board never reached -160). Game in progress at grading - outcome irrelevant to an unfilled order.</t>
        </is>
      </c>
    </row>
    <row r="49">
      <c r="A49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50">
      <c r="A50" s="21" t="inlineStr">
        <is>
          <t>[DIDN'T] WSH @ ATL: 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51">
      <c r="A51" s="21" t="inlineStr">
        <is>
          <t>[DIDN'T] BOS @ LAD (Sunday Night Baseball): VOID - cancelled at 7:03 PM ET with first pitch 7:20 PM ET: no time to re-verify the line, and every price on the card is a morning-stale snapshot. An unsupervisable order is not an order.</t>
        </is>
      </c>
    </row>
    <row r="52">
      <c r="A52" s="21" t="inlineStr">
        <is>
          <t>[DIDN'T] MIA @ NYM: VOID - shipped after the 1:40 PM ET first pitch (same process miss as the headline order). No bet placed, none should be.</t>
        </is>
      </c>
    </row>
    <row r="53">
      <c r="A53" s="21" t="inlineStr">
        <is>
          <t>[DIDN'T] Calibration: flagged-source fair lines (conflict / date trap / low-confidence close) missed the no-vig close by 4.93 pts on average vs 1.54 pts for clean sources — source hygiene IS calibration.</t>
        </is>
      </c>
    </row>
    <row r="55">
      <c r="A55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2026-08-11T02:46:43Z</dcterms:created>
  <dcterms:modified xsi:type="dcterms:W3CDTF">2026-08-11T02:46:43Z</dcterms:modified>
</cp:coreProperties>
</file>