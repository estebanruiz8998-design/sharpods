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s" sheetId="1" state="visible" r:id="rId1"/>
    <sheet name="FairLines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"/>
    <numFmt numFmtId="166" formatCode="$#,##0;($#,##0);-"/>
    <numFmt numFmtId="167" formatCode="0.0%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FF"/>
      <sz val="10"/>
    </font>
    <font>
      <name val="Arial"/>
      <i val="1"/>
      <sz val="9"/>
    </font>
    <font>
      <name val="Arial"/>
      <sz val="10"/>
    </font>
    <font>
      <name val="Arial"/>
      <b val="1"/>
      <sz val="14"/>
    </font>
    <font>
      <name val="Arial"/>
      <b val="1"/>
      <color rgb="FF000000"/>
      <sz val="10"/>
    </font>
    <font>
      <name val="Arial"/>
      <b val="1"/>
      <sz val="11"/>
    </font>
    <font>
      <name val="Arial"/>
      <sz val="9"/>
    </font>
    <font>
      <name val="Arial"/>
      <i val="1"/>
      <sz val="8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2" borderId="0" pivotButton="0" quotePrefix="0" xfId="0"/>
    <xf numFmtId="168" fontId="2" fillId="0" borderId="0" pivotButton="0" quotePrefix="0" xfId="0"/>
    <xf numFmtId="2" fontId="4" fillId="0" borderId="0" pivotButton="0" quotePrefix="0" xfId="0"/>
    <xf numFmtId="168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SharpOds</author>
  </authors>
  <commentList>
    <comment ref="B5" authorId="0" shapeId="0">
      <text>
        <t>Win rate and P&amp;L are outcome metrics; mean no-vig CLV is the process metric the model answers to (Squares &amp; Sharps; Sharper). Small n: treat every number as provisional until the ledger's significance tests clear (see sharpods/clv.py).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13" customWidth="1" min="4" max="4"/>
    <col width="7" customWidth="1" min="5" max="5"/>
    <col width="7" customWidth="1" min="6" max="6"/>
    <col width="10" customWidth="1" min="7" max="7"/>
    <col width="10" customWidth="1" min="8" max="8"/>
    <col width="10" customWidth="1" min="9" max="9"/>
    <col width="9" customWidth="1" min="10" max="10"/>
    <col width="10" customWidth="1" min="11" max="11"/>
    <col width="12" customWidth="1" min="12" max="12"/>
    <col width="9" customWidth="1" min="13" max="13"/>
    <col width="60" customWidth="1" min="14" max="14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Selection</t>
        </is>
      </c>
      <c r="D1" s="1" t="inlineStr">
        <is>
          <t>Type</t>
        </is>
      </c>
      <c r="E1" s="1" t="inlineStr">
        <is>
          <t>Target</t>
        </is>
      </c>
      <c r="F1" s="1" t="inlineStr">
        <is>
          <t>Fill</t>
        </is>
      </c>
      <c r="G1" s="1" t="inlineStr">
        <is>
          <t>Stake $</t>
        </is>
      </c>
      <c r="H1" s="1" t="inlineStr">
        <is>
          <t>Result</t>
        </is>
      </c>
      <c r="I1" s="1" t="inlineStr">
        <is>
          <t>P&amp;L $</t>
        </is>
      </c>
      <c r="J1" s="1" t="inlineStr">
        <is>
          <t>CLV raw</t>
        </is>
      </c>
      <c r="K1" s="1" t="inlineStr">
        <is>
          <t>CLV no-vig</t>
        </is>
      </c>
      <c r="L1" s="1" t="inlineStr">
        <is>
          <t>Anchor</t>
        </is>
      </c>
      <c r="M1" s="1" t="inlineStr">
        <is>
          <t>Process</t>
        </is>
      </c>
      <c r="N1" s="1" t="inlineStr">
        <is>
          <t>Notes</t>
        </is>
      </c>
    </row>
    <row r="2">
      <c r="A2" s="2" t="inlineStr">
        <is>
          <t>2026-07-29</t>
        </is>
      </c>
      <c r="B2" s="2" t="inlineStr">
        <is>
          <t>Full 5-game slate</t>
        </is>
      </c>
      <c r="C2" s="2" t="inlineStr">
        <is>
          <t>No bet - all 10 sides -EV</t>
        </is>
      </c>
      <c r="D2" s="2" t="inlineStr">
        <is>
          <t>pass</t>
        </is>
      </c>
      <c r="E2" s="3" t="n"/>
      <c r="F2" s="3" t="n"/>
      <c r="G2" s="4" t="n">
        <v>0</v>
      </c>
      <c r="H2" s="2" t="inlineStr">
        <is>
          <t>validated</t>
        </is>
      </c>
      <c r="I2" s="5" t="n">
        <v>0</v>
      </c>
      <c r="J2" s="6" t="n"/>
      <c r="K2" s="6" t="n"/>
      <c r="L2" s="2" t="inlineStr">
        <is>
          <t>clean</t>
        </is>
      </c>
      <c r="M2" s="2" t="inlineStr">
        <is>
          <t>worked</t>
        </is>
      </c>
      <c r="N2" s="2" t="inlineStr">
        <is>
          <t>Favorites went 2-3; both most-likely sides blew 6+ run leads; every listed price was -EV vs fair (avg -3.3%). Passing saved money.</t>
        </is>
      </c>
    </row>
    <row r="3">
      <c r="A3" s="2" t="inlineStr">
        <is>
          <t>2026-07-29</t>
        </is>
      </c>
      <c r="B3" s="2" t="inlineStr">
        <is>
          <t>BAL @ DET</t>
        </is>
      </c>
      <c r="C3" s="2" t="inlineStr">
        <is>
          <t>Tigers ML</t>
        </is>
      </c>
      <c r="D3" s="2" t="inlineStr">
        <is>
          <t>order_unfilled</t>
        </is>
      </c>
      <c r="E3" s="3" t="n">
        <v>1.633</v>
      </c>
      <c r="F3" s="3" t="n"/>
      <c r="G3" s="4" t="n">
        <v>0</v>
      </c>
      <c r="H3" s="2" t="inlineStr">
        <is>
          <t>no fill</t>
        </is>
      </c>
      <c r="I3" s="5" t="n">
        <v>0</v>
      </c>
      <c r="J3" s="6" t="n"/>
      <c r="K3" s="6" t="n"/>
      <c r="L3" s="2" t="inlineStr">
        <is>
          <t>clean</t>
        </is>
      </c>
      <c r="M3" s="2" t="inlineStr">
        <is>
          <t>worked</t>
        </is>
      </c>
      <c r="N3" s="2" t="inlineStr">
        <is>
          <t>Line closed 1.56-1.59, moving away; discipline held. Tigers lost 9-10 in 12 - a chased fill would have lost.</t>
        </is>
      </c>
    </row>
    <row r="4">
      <c r="A4" s="2" t="inlineStr">
        <is>
          <t>2026-07-30</t>
        </is>
      </c>
      <c r="B4" s="2" t="inlineStr">
        <is>
          <t>CHC @ STL</t>
        </is>
      </c>
      <c r="C4" s="2" t="inlineStr">
        <is>
          <t>Cubs ML</t>
        </is>
      </c>
      <c r="D4" s="2" t="inlineStr">
        <is>
          <t>ticket</t>
        </is>
      </c>
      <c r="E4" s="3" t="n">
        <v>1.991</v>
      </c>
      <c r="F4" s="3" t="n">
        <v>1.99</v>
      </c>
      <c r="G4" s="4" t="n">
        <v>30000</v>
      </c>
      <c r="H4" s="2" t="inlineStr">
        <is>
          <t>won</t>
        </is>
      </c>
      <c r="I4" s="5" t="n">
        <v>29700</v>
      </c>
      <c r="J4" s="6" t="n">
        <v>-0.005</v>
      </c>
      <c r="K4" s="6" t="n">
        <v>-0.0513</v>
      </c>
      <c r="L4" s="2" t="inlineStr">
        <is>
          <t>conflict</t>
        </is>
      </c>
      <c r="M4" s="2" t="inlineStr">
        <is>
          <t>miss</t>
        </is>
      </c>
      <c r="N4" s="2" t="inlineStr">
        <is>
          <t>Cashed on variance: close (CHC +100/STL -120, sharp money on STL) says the edge was not there. Fair missed the no-vig close by 3.7pts on a source-conflict market -&gt; conflict-refusal rule shipped.</t>
        </is>
      </c>
    </row>
    <row r="5">
      <c r="A5" s="2" t="inlineStr">
        <is>
          <t>2026-07-30</t>
        </is>
      </c>
      <c r="B5" s="2" t="inlineStr">
        <is>
          <t>PIT @ CIN</t>
        </is>
      </c>
      <c r="C5" s="2" t="inlineStr">
        <is>
          <t>Reds ML</t>
        </is>
      </c>
      <c r="D5" s="2" t="inlineStr">
        <is>
          <t>order_unfilled</t>
        </is>
      </c>
      <c r="E5" s="3" t="n">
        <v>1.985</v>
      </c>
      <c r="F5" s="3" t="n"/>
      <c r="G5" s="4" t="n">
        <v>0</v>
      </c>
      <c r="H5" s="2" t="inlineStr">
        <is>
          <t>no fill</t>
        </is>
      </c>
      <c r="I5" s="5" t="n">
        <v>0</v>
      </c>
      <c r="J5" s="6" t="n"/>
      <c r="K5" s="6" t="n"/>
      <c r="L5" s="2" t="inlineStr">
        <is>
          <t>clean</t>
        </is>
      </c>
      <c r="M5" s="2" t="inlineStr">
        <is>
          <t>pending</t>
        </is>
      </c>
      <c r="N5" s="2" t="inlineStr">
        <is>
          <t>Game pending at grading. Skenes scratched late (bullpen game) - the priced premise changed; listed-pitcher rules would have mattered.</t>
        </is>
      </c>
    </row>
    <row r="6">
      <c r="A6" s="2" t="inlineStr">
        <is>
          <t>2026-07-30</t>
        </is>
      </c>
      <c r="B6" s="2" t="inlineStr">
        <is>
          <t>CHC @ STL</t>
        </is>
      </c>
      <c r="C6" s="2" t="inlineStr">
        <is>
          <t>Cross-source 'arb' +1.28%</t>
        </is>
      </c>
      <c r="D6" s="2" t="inlineStr">
        <is>
          <t>flag</t>
        </is>
      </c>
      <c r="E6" s="3" t="n"/>
      <c r="F6" s="3" t="n"/>
      <c r="G6" s="4" t="n">
        <v>0</v>
      </c>
      <c r="H6" s="2" t="inlineStr">
        <is>
          <t>validated</t>
        </is>
      </c>
      <c r="I6" s="5" t="n">
        <v>0</v>
      </c>
      <c r="J6" s="6" t="n"/>
      <c r="K6" s="6" t="n"/>
      <c r="L6" s="2" t="inlineStr">
        <is>
          <t>conflict</t>
        </is>
      </c>
      <c r="M6" s="2" t="inlineStr">
        <is>
          <t>worked</t>
        </is>
      </c>
      <c r="N6" s="2" t="inlineStr">
        <is>
          <t>Labeled unverified staleness and not executed; the close proved it was quote drift, not free money.</t>
        </is>
      </c>
    </row>
    <row r="7">
      <c r="A7" s="2" t="inlineStr">
        <is>
          <t>2026-07-31</t>
        </is>
      </c>
      <c r="B7" s="2" t="inlineStr">
        <is>
          <t>NYY @ CHC</t>
        </is>
      </c>
      <c r="C7" s="2" t="inlineStr">
        <is>
          <t>Market refused (conflict rule)</t>
        </is>
      </c>
      <c r="D7" s="2" t="inlineStr">
        <is>
          <t>refusal</t>
        </is>
      </c>
      <c r="E7" s="3" t="n"/>
      <c r="F7" s="3" t="n"/>
      <c r="G7" s="4" t="n">
        <v>0</v>
      </c>
      <c r="H7" s="2" t="inlineStr">
        <is>
          <t>validated</t>
        </is>
      </c>
      <c r="I7" s="5" t="n">
        <v>0</v>
      </c>
      <c r="J7" s="6" t="n"/>
      <c r="K7" s="6" t="n"/>
      <c r="L7" s="2" t="inlineStr">
        <is>
          <t>conflict</t>
        </is>
      </c>
      <c r="M7" s="2" t="inlineStr">
        <is>
          <t>worked</t>
        </is>
      </c>
      <c r="N7" s="2" t="inlineStr">
        <is>
          <t>Close CHC -140 landed on the sportsbook consensus; Polymarket 52c was the stale outlier (NYY won 2-0 as a +130 dog - vs the close that bet was -7% EV luck). Refusal correct.</t>
        </is>
      </c>
    </row>
    <row r="8">
      <c r="A8" s="2" t="inlineStr">
        <is>
          <t>2026-07-31</t>
        </is>
      </c>
      <c r="B8" s="2" t="inlineStr">
        <is>
          <t>PHI @ BAL</t>
        </is>
      </c>
      <c r="C8" s="2" t="inlineStr">
        <is>
          <t>Phillies ML</t>
        </is>
      </c>
      <c r="D8" s="2" t="inlineStr">
        <is>
          <t>order_open</t>
        </is>
      </c>
      <c r="E8" s="3" t="n">
        <v>2.097</v>
      </c>
      <c r="F8" s="3" t="n"/>
      <c r="G8" s="4" t="n">
        <v>0</v>
      </c>
      <c r="H8" s="2" t="inlineStr">
        <is>
          <t>no fill</t>
        </is>
      </c>
      <c r="I8" s="5" t="n">
        <v>0</v>
      </c>
      <c r="J8" s="6" t="n"/>
      <c r="K8" s="6" t="n"/>
      <c r="L8" s="2" t="inlineStr">
        <is>
          <t>clean</t>
        </is>
      </c>
      <c r="M8" s="2" t="inlineStr">
        <is>
          <t>worked</t>
        </is>
      </c>
      <c r="N8" s="2" t="inlineStr">
        <is>
          <t>PHI never traded above 2.06 (target 2.10). Close no-vig PHI 0.467: even at target the bet was -2% vs close - not filling saved money. SportsGrid model lean (PHI 54%) was the wrong side per the close.</t>
        </is>
      </c>
    </row>
    <row r="9">
      <c r="A9" s="2" t="inlineStr">
        <is>
          <t>2026-07-31</t>
        </is>
      </c>
      <c r="B9" s="2" t="inlineStr">
        <is>
          <t>PIT @ CIN</t>
        </is>
      </c>
      <c r="C9" s="2" t="inlineStr">
        <is>
          <t>Pirates ML</t>
        </is>
      </c>
      <c r="D9" s="2" t="inlineStr">
        <is>
          <t>order_open</t>
        </is>
      </c>
      <c r="E9" s="3" t="n">
        <v>1.966</v>
      </c>
      <c r="F9" s="3" t="n"/>
      <c r="G9" s="4" t="n">
        <v>0</v>
      </c>
      <c r="H9" s="2" t="inlineStr">
        <is>
          <t>no fill</t>
        </is>
      </c>
      <c r="I9" s="5" t="n">
        <v>0</v>
      </c>
      <c r="J9" s="6" t="n"/>
      <c r="K9" s="6" t="n"/>
      <c r="L9" s="2" t="inlineStr">
        <is>
          <t>clean</t>
        </is>
      </c>
      <c r="M9" s="2" t="inlineStr">
        <is>
          <t>worked</t>
        </is>
      </c>
      <c r="N9" s="2" t="inlineStr">
        <is>
          <t>PIT -120 to -136 all day, never near the 1.966 target. Close no-vig PIT 0.564: a 1.966 fill would have been ~+11% EV vs close - right side, market never paid the price.</t>
        </is>
      </c>
    </row>
    <row r="10">
      <c r="A10" s="2" t="inlineStr">
        <is>
          <t>2026-08-01</t>
        </is>
      </c>
      <c r="B10" s="2" t="inlineStr">
        <is>
          <t>PIT @ CIN</t>
        </is>
      </c>
      <c r="C10" s="2" t="inlineStr">
        <is>
          <t>Reds ML</t>
        </is>
      </c>
      <c r="D10" s="2" t="inlineStr">
        <is>
          <t>order_open</t>
        </is>
      </c>
      <c r="E10" s="3" t="n">
        <v>2.262</v>
      </c>
      <c r="F10" s="3" t="n"/>
      <c r="G10" s="4" t="n">
        <v>0</v>
      </c>
      <c r="H10" s="2" t="inlineStr">
        <is>
          <t>pending</t>
        </is>
      </c>
      <c r="I10" s="5" t="n">
        <v>0</v>
      </c>
      <c r="J10" s="6" t="n"/>
      <c r="K10" s="6" t="n"/>
      <c r="L10" s="2" t="inlineStr">
        <is>
          <t>clean</t>
        </is>
      </c>
      <c r="M10" s="2" t="inlineStr">
        <is>
          <t>pending</t>
        </is>
      </c>
      <c r="N10" s="2" t="inlineStr">
        <is>
          <t>Saturday sources split (CIN 2.05 vs 2.20); best price sits near fair. Premise risk: sources conflict on whether Skenes starts Saturday or pitched Friday - if Skenes is gone, the CIN side strengthens.</t>
        </is>
      </c>
    </row>
    <row r="11">
      <c r="A11" s="2" t="inlineStr">
        <is>
          <t>2026-08-01</t>
        </is>
      </c>
      <c r="B11" s="2" t="inlineStr">
        <is>
          <t>PIT @ CIN</t>
        </is>
      </c>
      <c r="C11" s="2" t="inlineStr">
        <is>
          <t>Pirates ML</t>
        </is>
      </c>
      <c r="D11" s="2" t="inlineStr">
        <is>
          <t>order_open</t>
        </is>
      </c>
      <c r="E11" s="3" t="n">
        <v>1.874</v>
      </c>
      <c r="F11" s="3" t="n"/>
      <c r="G11" s="4" t="n">
        <v>0</v>
      </c>
      <c r="H11" s="2" t="inlineStr">
        <is>
          <t>pending</t>
        </is>
      </c>
      <c r="I11" s="5" t="n">
        <v>0</v>
      </c>
      <c r="J11" s="6" t="n"/>
      <c r="K11" s="6" t="n"/>
      <c r="L11" s="2" t="inlineStr">
        <is>
          <t>clean</t>
        </is>
      </c>
      <c r="M11" s="2" t="inlineStr">
        <is>
          <t>pending</t>
        </is>
      </c>
      <c r="N11" s="2" t="inlineStr">
        <is>
          <t>Runner-up order; fair 1.828 vs best 1.80.</t>
        </is>
      </c>
    </row>
    <row r="12">
      <c r="A12" s="2" t="inlineStr">
        <is>
          <t>2026-08-01</t>
        </is>
      </c>
      <c r="B12" s="2" t="inlineStr">
        <is>
          <t>NYY @ CHC</t>
        </is>
      </c>
      <c r="C12" s="2" t="inlineStr">
        <is>
          <t>Market refused (conflict rule, day 2)</t>
        </is>
      </c>
      <c r="D12" s="2" t="inlineStr">
        <is>
          <t>refusal</t>
        </is>
      </c>
      <c r="E12" s="3" t="n"/>
      <c r="F12" s="3" t="n"/>
      <c r="G12" s="4" t="n">
        <v>0</v>
      </c>
      <c r="H12" s="2" t="inlineStr">
        <is>
          <t>pending</t>
        </is>
      </c>
      <c r="I12" s="5" t="n">
        <v>0</v>
      </c>
      <c r="J12" s="6" t="n"/>
      <c r="K12" s="6" t="n"/>
      <c r="L12" s="2" t="inlineStr">
        <is>
          <t>conflict</t>
        </is>
      </c>
      <c r="M12" s="2" t="inlineStr">
        <is>
          <t>pending</t>
        </is>
      </c>
      <c r="N12" s="2" t="inlineStr">
        <is>
          <t>Books: Cubs 1.62; Polymarket: Yankees favored. Same signature the close resolved toward books yesterday (-11.67% pseudo-hold). Saturday pitchers also unresolved.</t>
        </is>
      </c>
    </row>
    <row r="13">
      <c r="A13" s="2" t="inlineStr">
        <is>
          <t>2026-08-01</t>
        </is>
      </c>
      <c r="B13" s="2" t="inlineStr">
        <is>
          <t>WSH @ ATL</t>
        </is>
      </c>
      <c r="C13" s="2" t="inlineStr">
        <is>
          <t>Market refused (no anchor &gt;= 0.5)</t>
        </is>
      </c>
      <c r="D13" s="2" t="inlineStr">
        <is>
          <t>refusal</t>
        </is>
      </c>
      <c r="E13" s="3" t="n"/>
      <c r="F13" s="3" t="n"/>
      <c r="G13" s="4" t="n">
        <v>0</v>
      </c>
      <c r="H13" s="2" t="inlineStr">
        <is>
          <t>pending</t>
        </is>
      </c>
      <c r="I13" s="5" t="n">
        <v>0</v>
      </c>
      <c r="J13" s="6" t="n"/>
      <c r="K13" s="6" t="n"/>
      <c r="L13" s="2" t="inlineStr">
        <is>
          <t>clean</t>
        </is>
      </c>
      <c r="M13" s="2" t="inlineStr">
        <is>
          <t>pending</t>
        </is>
      </c>
      <c r="N13" s="2" t="inlineStr">
        <is>
          <t>Only Polymarket quotes both sides; after its ledger-evidenced demotion to 0.45 it cannot anchor a fair line.</t>
        </is>
      </c>
    </row>
    <row r="15">
      <c r="A15" s="7" t="inlineStr">
        <is>
          <t>Blue cells = ledger data (regenerated by sharpods-tracker; edit data/track_record.json, not this sheet). Dashboard recomputes from these rows automatically. To grade a bet you placed yourself: set Type=ticket, Result=won or lost, and fill Stake $ and P&amp;L $ — the Dashboard picks it up. For an order that never filled, set Result=no fill.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16" customWidth="1" min="4" max="4"/>
    <col width="11" customWidth="1" min="5" max="5"/>
    <col width="13" customWidth="1" min="6" max="6"/>
    <col width="11" customWidth="1" min="7" max="7"/>
    <col width="11" customWidth="1" min="8" max="8"/>
    <col width="15" customWidth="1" min="9" max="9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Our fair (home)</t>
        </is>
      </c>
      <c r="D1" s="1" t="inlineStr">
        <is>
          <t>Close no-vig (home)</t>
        </is>
      </c>
      <c r="E1" s="1" t="inlineStr">
        <is>
          <t>Error (pts)</t>
        </is>
      </c>
      <c r="F1" s="1" t="inlineStr">
        <is>
          <t>Home won (1/0)</t>
        </is>
      </c>
      <c r="G1" s="1" t="inlineStr">
        <is>
          <t>Brier ours</t>
        </is>
      </c>
      <c r="H1" s="1" t="inlineStr">
        <is>
          <t>Brier close</t>
        </is>
      </c>
      <c r="I1" s="1" t="inlineStr">
        <is>
          <t>Source flag</t>
        </is>
      </c>
    </row>
    <row r="2">
      <c r="A2" s="2" t="inlineStr">
        <is>
          <t>2026-07-29</t>
        </is>
      </c>
      <c r="B2" s="2" t="inlineStr">
        <is>
          <t>mlb-2026-07-29-bal-det</t>
        </is>
      </c>
      <c r="C2" s="8" t="n">
        <v>0.6183999999999999</v>
      </c>
      <c r="D2" s="8" t="n">
        <v>0.6225000000000001</v>
      </c>
      <c r="E2" s="9">
        <f>ABS(C2-D2)*100</f>
        <v/>
      </c>
      <c r="F2" s="2" t="n">
        <v>0</v>
      </c>
      <c r="G2" s="10">
        <f>(C2-F2)^2</f>
        <v/>
      </c>
      <c r="H2" s="10">
        <f>(D2-F2)^2</f>
        <v/>
      </c>
      <c r="I2" s="2" t="inlineStr">
        <is>
          <t>clean</t>
        </is>
      </c>
    </row>
    <row r="3">
      <c r="A3" s="2" t="inlineStr">
        <is>
          <t>2026-07-29</t>
        </is>
      </c>
      <c r="B3" s="2" t="inlineStr">
        <is>
          <t>mlb-2026-07-29-atl-nym-g1</t>
        </is>
      </c>
      <c r="C3" s="8" t="n">
        <v>0.4953</v>
      </c>
      <c r="D3" s="8" t="n">
        <v>0.4907</v>
      </c>
      <c r="E3" s="9">
        <f>ABS(C3-D3)*100</f>
        <v/>
      </c>
      <c r="F3" s="2" t="n">
        <v>1</v>
      </c>
      <c r="G3" s="10">
        <f>(C3-F3)^2</f>
        <v/>
      </c>
      <c r="H3" s="10">
        <f>(D3-F3)^2</f>
        <v/>
      </c>
      <c r="I3" s="2" t="inlineStr">
        <is>
          <t>clean</t>
        </is>
      </c>
    </row>
    <row r="4">
      <c r="A4" s="2" t="inlineStr">
        <is>
          <t>2026-07-29</t>
        </is>
      </c>
      <c r="B4" s="2" t="inlineStr">
        <is>
          <t>mlb-2026-07-29-col-sd</t>
        </is>
      </c>
      <c r="C4" s="8" t="n">
        <v>0.5644</v>
      </c>
      <c r="D4" s="8" t="n">
        <v>0.5617</v>
      </c>
      <c r="E4" s="9">
        <f>ABS(C4-D4)*100</f>
        <v/>
      </c>
      <c r="F4" s="2" t="n">
        <v>1</v>
      </c>
      <c r="G4" s="10">
        <f>(C4-F4)^2</f>
        <v/>
      </c>
      <c r="H4" s="10">
        <f>(D4-F4)^2</f>
        <v/>
      </c>
      <c r="I4" s="2" t="inlineStr">
        <is>
          <t>clean</t>
        </is>
      </c>
    </row>
    <row r="5">
      <c r="A5" s="2" t="inlineStr">
        <is>
          <t>2026-07-29</t>
        </is>
      </c>
      <c r="B5" s="2" t="inlineStr">
        <is>
          <t>mlb-2026-07-29-tor-wsh</t>
        </is>
      </c>
      <c r="C5" s="8" t="n">
        <v>0.4653</v>
      </c>
      <c r="D5" s="8" t="n">
        <v>0.4678</v>
      </c>
      <c r="E5" s="9">
        <f>ABS(C5-D5)*100</f>
        <v/>
      </c>
      <c r="F5" s="2" t="n">
        <v>0</v>
      </c>
      <c r="G5" s="10">
        <f>(C5-F5)^2</f>
        <v/>
      </c>
      <c r="H5" s="10">
        <f>(D5-F5)^2</f>
        <v/>
      </c>
      <c r="I5" s="2" t="inlineStr">
        <is>
          <t>clean</t>
        </is>
      </c>
    </row>
    <row r="6">
      <c r="A6" s="2" t="inlineStr">
        <is>
          <t>2026-07-29</t>
        </is>
      </c>
      <c r="B6" s="2" t="inlineStr">
        <is>
          <t>mlb-2026-07-29-phi-mia</t>
        </is>
      </c>
      <c r="C6" s="8" t="n">
        <v>0.4108</v>
      </c>
      <c r="D6" s="8" t="n">
        <v>0.3865</v>
      </c>
      <c r="E6" s="9">
        <f>ABS(C6-D6)*100</f>
        <v/>
      </c>
      <c r="F6" s="2" t="n">
        <v>1</v>
      </c>
      <c r="G6" s="10">
        <f>(C6-F6)^2</f>
        <v/>
      </c>
      <c r="H6" s="10">
        <f>(D6-F6)^2</f>
        <v/>
      </c>
      <c r="I6" s="2" t="inlineStr">
        <is>
          <t>clean</t>
        </is>
      </c>
    </row>
    <row r="7">
      <c r="A7" s="2" t="inlineStr">
        <is>
          <t>2026-07-30</t>
        </is>
      </c>
      <c r="B7" s="2" t="inlineStr">
        <is>
          <t>mlb-2026-07-30-tex-tb</t>
        </is>
      </c>
      <c r="C7" s="8" t="n">
        <v>0.6203</v>
      </c>
      <c r="D7" s="8" t="n">
        <v>0.5713</v>
      </c>
      <c r="E7" s="9">
        <f>ABS(C7-D7)*100</f>
        <v/>
      </c>
      <c r="F7" s="2" t="n">
        <v>1</v>
      </c>
      <c r="G7" s="10">
        <f>(C7-F7)^2</f>
        <v/>
      </c>
      <c r="H7" s="10">
        <f>(D7-F7)^2</f>
        <v/>
      </c>
      <c r="I7" s="2" t="inlineStr">
        <is>
          <t>low-conf close</t>
        </is>
      </c>
    </row>
    <row r="8">
      <c r="A8" s="2" t="inlineStr">
        <is>
          <t>2026-07-30</t>
        </is>
      </c>
      <c r="B8" s="2" t="inlineStr">
        <is>
          <t>mlb-2026-07-30-chc-stl</t>
        </is>
      </c>
      <c r="C8" s="8" t="n">
        <v>0.4852</v>
      </c>
      <c r="D8" s="8" t="n">
        <v>0.5233</v>
      </c>
      <c r="E8" s="9">
        <f>ABS(C8-D8)*100</f>
        <v/>
      </c>
      <c r="F8" s="2" t="n">
        <v>0</v>
      </c>
      <c r="G8" s="10">
        <f>(C8-F8)^2</f>
        <v/>
      </c>
      <c r="H8" s="10">
        <f>(D8-F8)^2</f>
        <v/>
      </c>
      <c r="I8" s="2" t="inlineStr">
        <is>
          <t>conflict</t>
        </is>
      </c>
    </row>
    <row r="9">
      <c r="A9" s="2" t="inlineStr">
        <is>
          <t>2026-07-30</t>
        </is>
      </c>
      <c r="B9" s="2" t="inlineStr">
        <is>
          <t>mlb-2026-07-30-mia-nym</t>
        </is>
      </c>
      <c r="C9" s="8" t="n">
        <v>0.5522</v>
      </c>
      <c r="D9" s="8" t="n">
        <v>0.5454</v>
      </c>
      <c r="E9" s="9">
        <f>ABS(C9-D9)*100</f>
        <v/>
      </c>
      <c r="F9" s="2" t="n">
        <v>1</v>
      </c>
      <c r="G9" s="10">
        <f>(C9-F9)^2</f>
        <v/>
      </c>
      <c r="H9" s="10">
        <f>(D9-F9)^2</f>
        <v/>
      </c>
      <c r="I9" s="2" t="inlineStr">
        <is>
          <t>clean</t>
        </is>
      </c>
    </row>
    <row r="10">
      <c r="A10" s="2" t="inlineStr">
        <is>
          <t>2026-07-30</t>
        </is>
      </c>
      <c r="B10" s="2" t="inlineStr">
        <is>
          <t>mlb-2026-07-30-wsh-atl</t>
        </is>
      </c>
      <c r="C10" s="8" t="n">
        <v>0.5255</v>
      </c>
      <c r="D10" s="8" t="n">
        <v>0.5665</v>
      </c>
      <c r="E10" s="9">
        <f>ABS(C10-D10)*100</f>
        <v/>
      </c>
      <c r="F10" s="2" t="n">
        <v>1</v>
      </c>
      <c r="G10" s="10">
        <f>(C10-F10)^2</f>
        <v/>
      </c>
      <c r="H10" s="10">
        <f>(D10-F10)^2</f>
        <v/>
      </c>
      <c r="I10" s="2" t="inlineStr">
        <is>
          <t>stale quote</t>
        </is>
      </c>
    </row>
    <row r="11">
      <c r="A11" s="2" t="inlineStr">
        <is>
          <t>2026-07-30</t>
        </is>
      </c>
      <c r="B11" s="2" t="inlineStr">
        <is>
          <t>mlb-2026-07-30-bos-ath</t>
        </is>
      </c>
      <c r="C11" s="8" t="n">
        <v>0.4117</v>
      </c>
      <c r="D11" s="8" t="n">
        <v>0.3733</v>
      </c>
      <c r="E11" s="9">
        <f>ABS(C11-D11)*100</f>
        <v/>
      </c>
      <c r="F11" s="2" t="n">
        <v>0</v>
      </c>
      <c r="G11" s="10">
        <f>(C11-F11)^2</f>
        <v/>
      </c>
      <c r="H11" s="10">
        <f>(D11-F11)^2</f>
        <v/>
      </c>
      <c r="I11" s="2" t="inlineStr">
        <is>
          <t>low-conf close</t>
        </is>
      </c>
    </row>
    <row r="12">
      <c r="A12" s="2" t="inlineStr">
        <is>
          <t>2026-07-30</t>
        </is>
      </c>
      <c r="B12" s="2" t="inlineStr">
        <is>
          <t>mlb-2026-07-30-nyy-cws</t>
        </is>
      </c>
      <c r="C12" s="8" t="n">
        <v>0.4317</v>
      </c>
      <c r="D12" s="8" t="n">
        <v>0.5115</v>
      </c>
      <c r="E12" s="9">
        <f>ABS(C12-D12)*100</f>
        <v/>
      </c>
      <c r="F12" s="2" t="n">
        <v>1</v>
      </c>
      <c r="G12" s="10">
        <f>(C12-F12)^2</f>
        <v/>
      </c>
      <c r="H12" s="10">
        <f>(D12-F12)^2</f>
        <v/>
      </c>
      <c r="I12" s="2" t="inlineStr">
        <is>
          <t>date trap</t>
        </is>
      </c>
    </row>
    <row r="13">
      <c r="A13" s="2" t="inlineStr">
        <is>
          <t>2026-07-30</t>
        </is>
      </c>
      <c r="B13" s="2" t="inlineStr">
        <is>
          <t>mlb-2026-07-30-sea-lad</t>
        </is>
      </c>
      <c r="C13" s="8" t="n">
        <v>0.5883</v>
      </c>
      <c r="D13" s="8" t="n">
        <v>0.5934</v>
      </c>
      <c r="E13" s="9">
        <f>ABS(C13-D13)*100</f>
        <v/>
      </c>
      <c r="F13" s="2" t="n">
        <v>1</v>
      </c>
      <c r="G13" s="10">
        <f>(C13-F13)^2</f>
        <v/>
      </c>
      <c r="H13" s="10">
        <f>(D13-F13)^2</f>
        <v/>
      </c>
      <c r="I13" s="2" t="inlineStr">
        <is>
          <t>clean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1" t="inlineStr">
        <is>
          <t>SharpOds Tracker — Dashboard</t>
        </is>
      </c>
    </row>
    <row r="2">
      <c r="A2" s="12" t="inlineStr">
        <is>
          <t>Every value below is a formula over Bets/FairLines: add or settle rows there and this sheet recomputes.</t>
        </is>
      </c>
    </row>
    <row r="5">
      <c r="A5" s="13" t="inlineStr">
        <is>
          <t>Tickets settled</t>
        </is>
      </c>
      <c r="B5" s="14">
        <f>COUNTIFS(Bets!D:D,"ticket",Bets!H:H,"&lt;&gt;pending")</f>
        <v/>
      </c>
    </row>
    <row r="6">
      <c r="A6" s="13" t="inlineStr">
        <is>
          <t>Ticket wins</t>
        </is>
      </c>
      <c r="B6" s="14">
        <f>COUNTIFS(Bets!D:D,"ticket",Bets!H:H,"won")</f>
        <v/>
      </c>
    </row>
    <row r="7">
      <c r="A7" s="13" t="inlineStr">
        <is>
          <t>Win rate</t>
        </is>
      </c>
      <c r="B7" s="15">
        <f>IFERROR(B6/B5,0)</f>
        <v/>
      </c>
    </row>
    <row r="8">
      <c r="A8" s="13" t="inlineStr">
        <is>
          <t>Total staked</t>
        </is>
      </c>
      <c r="B8" s="16">
        <f>SUMIFS(Bets!G:G,Bets!D:D,"ticket",Bets!H:H,"&lt;&gt;pending")</f>
        <v/>
      </c>
    </row>
    <row r="9">
      <c r="A9" s="13" t="inlineStr">
        <is>
          <t>Net P&amp;L</t>
        </is>
      </c>
      <c r="B9" s="17">
        <f>SUM(Bets!I:I)</f>
        <v/>
      </c>
    </row>
    <row r="10">
      <c r="A10" s="13" t="inlineStr">
        <is>
          <t>ROI on stakes</t>
        </is>
      </c>
      <c r="B10" s="15">
        <f>IFERROR(B9/B8,0)</f>
        <v/>
      </c>
    </row>
    <row r="11">
      <c r="A11" s="13" t="inlineStr">
        <is>
          <t>Mean CLV (no-vig), tickets</t>
        </is>
      </c>
      <c r="B11" s="15">
        <f>IFERROR(AVERAGEIFS(Bets!K:K,Bets!D:D,"ticket"),0)</f>
        <v/>
      </c>
    </row>
    <row r="12">
      <c r="A12" s="13" t="inlineStr">
        <is>
          <t>Limit orders unfilled</t>
        </is>
      </c>
      <c r="B12" s="14">
        <f>COUNTIF(Bets!D:D,"order_unfilled")</f>
        <v/>
      </c>
    </row>
    <row r="13">
      <c r="A13" s="13" t="inlineStr">
        <is>
          <t>Open orders / pending</t>
        </is>
      </c>
      <c r="B13" s="14">
        <f>COUNTIF(Bets!H:H,"pending")</f>
        <v/>
      </c>
    </row>
    <row r="14">
      <c r="A14" s="13" t="inlineStr">
        <is>
          <t>Decisions settled</t>
        </is>
      </c>
      <c r="B14" s="14">
        <f>COUNTIF(Bets!M:M,"worked")+COUNTIF(Bets!M:M,"miss")</f>
        <v/>
      </c>
    </row>
    <row r="15">
      <c r="A15" s="13" t="inlineStr">
        <is>
          <t>Process validated (worked)</t>
        </is>
      </c>
      <c r="B15" s="14">
        <f>COUNTIF(Bets!M:M,"worked")</f>
        <v/>
      </c>
    </row>
    <row r="16">
      <c r="A16" s="13" t="inlineStr">
        <is>
          <t>Process misses</t>
        </is>
      </c>
      <c r="B16" s="14">
        <f>COUNTIF(Bets!M:M,"miss")</f>
        <v/>
      </c>
    </row>
    <row r="17">
      <c r="A17" s="13" t="inlineStr">
        <is>
          <t>Fair lines graded</t>
        </is>
      </c>
      <c r="B17" s="14">
        <f>COUNT(FairLines!E:E)</f>
        <v/>
      </c>
    </row>
    <row r="18">
      <c r="A18" s="13" t="inlineStr">
        <is>
          <t>Mean |fair − close| (pts)</t>
        </is>
      </c>
      <c r="B18" s="18">
        <f>IFERROR(AVERAGE(FairLines!E:E),0)</f>
        <v/>
      </c>
    </row>
    <row r="19">
      <c r="A19" s="13" t="inlineStr">
        <is>
          <t>Max |fair − close| (pts)</t>
        </is>
      </c>
      <c r="B19" s="18">
        <f>IFERROR(MAX(FairLines!E:E),0)</f>
        <v/>
      </c>
    </row>
    <row r="20">
      <c r="A20" s="13" t="inlineStr">
        <is>
          <t>Clean-source mean error (pts)</t>
        </is>
      </c>
      <c r="B20" s="18">
        <f>IFERROR(AVERAGEIFS(FairLines!E:E,FairLines!I:I,"clean"),0)</f>
        <v/>
      </c>
    </row>
    <row r="21">
      <c r="A21" s="13" t="inlineStr">
        <is>
          <t>Flagged-source mean error (pts)</t>
        </is>
      </c>
      <c r="B21" s="18">
        <f>IFERROR(AVERAGEIFS(FairLines!E:E,FairLines!I:I,"&lt;&gt;clean"),0)</f>
        <v/>
      </c>
    </row>
    <row r="22">
      <c r="A22" s="13" t="inlineStr">
        <is>
          <t>Brier — SharpOds fair</t>
        </is>
      </c>
      <c r="B22" s="19">
        <f>IFERROR(AVERAGE(FairLines!G:G),0)</f>
        <v/>
      </c>
    </row>
    <row r="23">
      <c r="A23" s="13" t="inlineStr">
        <is>
          <t>Brier — closing line</t>
        </is>
      </c>
      <c r="B23" s="19">
        <f>IFERROR(AVERAGE(FairLines!H:H),0)</f>
        <v/>
      </c>
    </row>
    <row r="24">
      <c r="A24" s="13" t="inlineStr">
        <is>
          <t>Brier — coin flip (reference)</t>
        </is>
      </c>
      <c r="B24" s="19">
        <f>0.25</f>
        <v/>
      </c>
    </row>
    <row r="27">
      <c r="A27" s="20" t="inlineStr">
        <is>
          <t>What worked / what didn't (from the decision log)</t>
        </is>
      </c>
    </row>
    <row r="28">
      <c r="A28" s="21" t="inlineStr">
        <is>
          <t>[WORKED] Full 5-game slate: Favorites went 2-3; both most-likely sides blew 6+ run leads; every listed price was -EV vs fair (avg -3.3%). Passing saved money.</t>
        </is>
      </c>
    </row>
    <row r="29">
      <c r="A29" s="21" t="inlineStr">
        <is>
          <t>[WORKED] BAL @ DET: Line closed 1.56-1.59, moving away; discipline held. Tigers lost 9-10 in 12 - a chased fill would have lost.</t>
        </is>
      </c>
    </row>
    <row r="30">
      <c r="A30" s="21" t="inlineStr">
        <is>
          <t>[WORKED] CHC @ STL: Labeled unverified staleness and not executed; the close proved it was quote drift, not free money.</t>
        </is>
      </c>
    </row>
    <row r="31">
      <c r="A31" s="21" t="inlineStr">
        <is>
          <t>[WORKED] NYY @ CHC: Close CHC -140 landed on the sportsbook consensus; Polymarket 52c was the stale outlier (NYY won 2-0 as a +130 dog - vs the close that bet was -7% EV luck). Refusal correct.</t>
        </is>
      </c>
    </row>
    <row r="32">
      <c r="A32" s="21" t="inlineStr">
        <is>
          <t>[WORKED] PHI @ BAL: PHI never traded above 2.06 (target 2.10). Close no-vig PHI 0.467: even at target the bet was -2% vs close - not filling saved money. SportsGrid model lean (PHI 54%) was the wrong side per the close.</t>
        </is>
      </c>
    </row>
    <row r="33">
      <c r="A33" s="21" t="inlineStr">
        <is>
          <t>[WORKED] PIT @ CIN: PIT -120 to -136 all day, never near the 1.966 target. Close no-vig PIT 0.564: a 1.966 fill would have been ~+11% EV vs close - right side, market never paid the price.</t>
        </is>
      </c>
    </row>
    <row r="34">
      <c r="A34" s="21" t="inlineStr">
        <is>
          <t>[DIDN'T] CHC @ STL: Cashed on variance: close (CHC +100/STL -120, sharp money on STL) says the edge was not there. Fair missed the no-vig close by 3.7pts on a source-conflict market -&gt; conflict-refusal rule shipped.</t>
        </is>
      </c>
    </row>
    <row r="35">
      <c r="A35" s="21" t="inlineStr">
        <is>
          <t>[DIDN'T] Calibration: flagged-source fair lines (conflict / date trap / low-confidence close) missed the no-vig close by 4.93 pts on average vs 0.72 pts for clean sources — source hygiene IS calibration.</t>
        </is>
      </c>
    </row>
    <row r="37">
      <c r="A37" s="22" t="inlineStr">
        <is>
          <t>Source: data/track_record.json (SharpOds ledger); regenerated by `sharpods-tracker`. Assumption: closing lines are best-available day-of published numbers, not exchange-verified closing ticks.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2026-07-31T22:32:06Z</dcterms:created>
  <dcterms:modified xsi:type="dcterms:W3CDTF">2026-07-31T22:32:06Z</dcterms:modified>
</cp:coreProperties>
</file>